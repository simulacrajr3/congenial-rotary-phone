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fileSharing readOnlyRecommended="1" userName="roe" algorithmName="SHA-512" hashValue="Z/SlYnRdcPgxECTozoCZNhtvm6nrvqkFVNeoscTsTm7UxIQQfU77PgwmQosvo3SbQ6gedJTXnydhighXZUVGZw==" saltValue="yBidGBIlMOBed4o8xygr9w==" spinCount="10000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e\Google Drive (joshroe.philosophy@gmail.com)\Programming\"/>
    </mc:Choice>
  </mc:AlternateContent>
  <bookViews>
    <workbookView xWindow="0" yWindow="0" windowWidth="28800" windowHeight="11700" firstSheet="2" activeTab="2"/>
  </bookViews>
  <sheets>
    <sheet name="Sheet1" sheetId="1" state="hidden" r:id="rId1"/>
    <sheet name="Sheet2" sheetId="2" state="hidden" r:id="rId2"/>
    <sheet name="Fixtures_scores" sheetId="3" r:id="rId3"/>
  </sheets>
  <definedNames>
    <definedName name="_1_premierleague" localSheetId="0">Sheet1!$A$1:$A$558</definedName>
    <definedName name="_xlnm._FilterDatabase" localSheetId="1" hidden="1">Sheet2!$E$1:$E$634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2" i="3"/>
  <c r="A2" i="2" l="1"/>
  <c r="A3" i="2"/>
  <c r="A4" i="2"/>
  <c r="A5" i="2"/>
  <c r="A6" i="2"/>
  <c r="A7" i="2"/>
  <c r="F7" i="2" s="1"/>
  <c r="A8" i="2"/>
  <c r="A9" i="2"/>
  <c r="F9" i="2" s="1"/>
  <c r="A10" i="2"/>
  <c r="A11" i="2"/>
  <c r="F11" i="2" s="1"/>
  <c r="A12" i="2"/>
  <c r="F12" i="2" s="1"/>
  <c r="A13" i="2"/>
  <c r="F13" i="2" s="1"/>
  <c r="A14" i="2"/>
  <c r="A15" i="2"/>
  <c r="A16" i="2"/>
  <c r="F16" i="2" s="1"/>
  <c r="A17" i="2"/>
  <c r="A18" i="2"/>
  <c r="A19" i="2"/>
  <c r="A20" i="2"/>
  <c r="A21" i="2"/>
  <c r="F21" i="2" s="1"/>
  <c r="A22" i="2"/>
  <c r="A23" i="2"/>
  <c r="F23" i="2" s="1"/>
  <c r="A24" i="2"/>
  <c r="F24" i="2" s="1"/>
  <c r="A25" i="2"/>
  <c r="F25" i="2" s="1"/>
  <c r="A26" i="2"/>
  <c r="A27" i="2"/>
  <c r="A28" i="2"/>
  <c r="F28" i="2" s="1"/>
  <c r="A29" i="2"/>
  <c r="A30" i="2"/>
  <c r="A31" i="2"/>
  <c r="F31" i="2" s="1"/>
  <c r="A32" i="2"/>
  <c r="F32" i="2" s="1"/>
  <c r="A33" i="2"/>
  <c r="A34" i="2"/>
  <c r="A35" i="2"/>
  <c r="A36" i="2"/>
  <c r="A37" i="2"/>
  <c r="F37" i="2" s="1"/>
  <c r="A38" i="2"/>
  <c r="A39" i="2"/>
  <c r="F39" i="2" s="1"/>
  <c r="A40" i="2"/>
  <c r="F40" i="2" s="1"/>
  <c r="A41" i="2"/>
  <c r="F41" i="2" s="1"/>
  <c r="A42" i="2"/>
  <c r="A43" i="2"/>
  <c r="A44" i="2"/>
  <c r="F44" i="2" s="1"/>
  <c r="A45" i="2"/>
  <c r="F45" i="2" s="1"/>
  <c r="A46" i="2"/>
  <c r="A47" i="2"/>
  <c r="F47" i="2" s="1"/>
  <c r="A48" i="2"/>
  <c r="A49" i="2"/>
  <c r="A50" i="2"/>
  <c r="A51" i="2"/>
  <c r="A52" i="2"/>
  <c r="F52" i="2" s="1"/>
  <c r="A53" i="2"/>
  <c r="F53" i="2" s="1"/>
  <c r="A54" i="2"/>
  <c r="A55" i="2"/>
  <c r="A56" i="2"/>
  <c r="A57" i="2"/>
  <c r="F57" i="2" s="1"/>
  <c r="A58" i="2"/>
  <c r="A59" i="2"/>
  <c r="F59" i="2" s="1"/>
  <c r="A60" i="2"/>
  <c r="A61" i="2"/>
  <c r="A62" i="2"/>
  <c r="A63" i="2"/>
  <c r="F63" i="2" s="1"/>
  <c r="A64" i="2"/>
  <c r="A65" i="2"/>
  <c r="A66" i="2"/>
  <c r="A67" i="2"/>
  <c r="A68" i="2"/>
  <c r="F68" i="2" s="1"/>
  <c r="A69" i="2"/>
  <c r="A70" i="2"/>
  <c r="A71" i="2"/>
  <c r="A72" i="2"/>
  <c r="A73" i="2"/>
  <c r="F73" i="2" s="1"/>
  <c r="A74" i="2"/>
  <c r="A75" i="2"/>
  <c r="F75" i="2" s="1"/>
  <c r="A76" i="2"/>
  <c r="A77" i="2"/>
  <c r="A78" i="2"/>
  <c r="A79" i="2"/>
  <c r="F79" i="2" s="1"/>
  <c r="A80" i="2"/>
  <c r="F80" i="2" s="1"/>
  <c r="A81" i="2"/>
  <c r="A82" i="2"/>
  <c r="A83" i="2"/>
  <c r="A84" i="2"/>
  <c r="F84" i="2" s="1"/>
  <c r="A85" i="2"/>
  <c r="F85" i="2" s="1"/>
  <c r="A86" i="2"/>
  <c r="A87" i="2"/>
  <c r="A88" i="2"/>
  <c r="A89" i="2"/>
  <c r="F89" i="2" s="1"/>
  <c r="A90" i="2"/>
  <c r="A91" i="2"/>
  <c r="F91" i="2" s="1"/>
  <c r="A92" i="2"/>
  <c r="A93" i="2"/>
  <c r="A94" i="2"/>
  <c r="A95" i="2"/>
  <c r="F95" i="2" s="1"/>
  <c r="A96" i="2"/>
  <c r="F96" i="2" s="1"/>
  <c r="A97" i="2"/>
  <c r="A98" i="2"/>
  <c r="A99" i="2"/>
  <c r="A100" i="2"/>
  <c r="F100" i="2" s="1"/>
  <c r="A101" i="2"/>
  <c r="F101" i="2" s="1"/>
  <c r="A102" i="2"/>
  <c r="A103" i="2"/>
  <c r="A104" i="2"/>
  <c r="A105" i="2"/>
  <c r="A106" i="2"/>
  <c r="A107" i="2"/>
  <c r="F107" i="2" s="1"/>
  <c r="A108" i="2"/>
  <c r="A109" i="2"/>
  <c r="A110" i="2"/>
  <c r="A111" i="2"/>
  <c r="A112" i="2"/>
  <c r="F112" i="2" s="1"/>
  <c r="A113" i="2"/>
  <c r="A114" i="2"/>
  <c r="A115" i="2"/>
  <c r="A116" i="2"/>
  <c r="F116" i="2" s="1"/>
  <c r="A117" i="2"/>
  <c r="A118" i="2"/>
  <c r="A119" i="2"/>
  <c r="A120" i="2"/>
  <c r="A121" i="2"/>
  <c r="F121" i="2" s="1"/>
  <c r="A122" i="2"/>
  <c r="A123" i="2"/>
  <c r="F123" i="2" s="1"/>
  <c r="A124" i="2"/>
  <c r="A125" i="2"/>
  <c r="A126" i="2"/>
  <c r="A127" i="2"/>
  <c r="F127" i="2" s="1"/>
  <c r="A128" i="2"/>
  <c r="F128" i="2" s="1"/>
  <c r="A129" i="2"/>
  <c r="A130" i="2"/>
  <c r="A131" i="2"/>
  <c r="A132" i="2"/>
  <c r="F132" i="2" s="1"/>
  <c r="A133" i="2"/>
  <c r="F133" i="2" s="1"/>
  <c r="A134" i="2"/>
  <c r="A135" i="2"/>
  <c r="A136" i="2"/>
  <c r="A137" i="2"/>
  <c r="F137" i="2" s="1"/>
  <c r="A138" i="2"/>
  <c r="A139" i="2"/>
  <c r="F139" i="2" s="1"/>
  <c r="A140" i="2"/>
  <c r="A141" i="2"/>
  <c r="A142" i="2"/>
  <c r="A143" i="2"/>
  <c r="F143" i="2" s="1"/>
  <c r="A144" i="2"/>
  <c r="F144" i="2" s="1"/>
  <c r="A145" i="2"/>
  <c r="A146" i="2"/>
  <c r="A147" i="2"/>
  <c r="A148" i="2"/>
  <c r="A149" i="2"/>
  <c r="F149" i="2" s="1"/>
  <c r="A150" i="2"/>
  <c r="A151" i="2"/>
  <c r="A152" i="2"/>
  <c r="A153" i="2"/>
  <c r="F153" i="2" s="1"/>
  <c r="A154" i="2"/>
  <c r="A155" i="2"/>
  <c r="A156" i="2"/>
  <c r="A157" i="2"/>
  <c r="A158" i="2"/>
  <c r="A159" i="2"/>
  <c r="F159" i="2" s="1"/>
  <c r="A160" i="2"/>
  <c r="A161" i="2"/>
  <c r="A162" i="2"/>
  <c r="A163" i="2"/>
  <c r="A164" i="2"/>
  <c r="F164" i="2" s="1"/>
  <c r="A165" i="2"/>
  <c r="A166" i="2"/>
  <c r="A167" i="2"/>
  <c r="A168" i="2"/>
  <c r="A169" i="2"/>
  <c r="F169" i="2" s="1"/>
  <c r="A170" i="2"/>
  <c r="A171" i="2"/>
  <c r="A172" i="2"/>
  <c r="A173" i="2"/>
  <c r="A174" i="2"/>
  <c r="A175" i="2"/>
  <c r="F175" i="2" s="1"/>
  <c r="A176" i="2"/>
  <c r="A177" i="2"/>
  <c r="A178" i="2"/>
  <c r="A179" i="2"/>
  <c r="A180" i="2"/>
  <c r="F180" i="2" s="1"/>
  <c r="A181" i="2"/>
  <c r="A182" i="2"/>
  <c r="A183" i="2"/>
  <c r="A184" i="2"/>
  <c r="A185" i="2"/>
  <c r="F185" i="2" s="1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D621" i="2" s="1"/>
  <c r="H621" i="2" s="1"/>
  <c r="I621" i="2" s="1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1" i="2"/>
  <c r="F4" i="2"/>
  <c r="F5" i="2"/>
  <c r="F10" i="2"/>
  <c r="F18" i="2"/>
  <c r="F26" i="2"/>
  <c r="F29" i="2"/>
  <c r="F38" i="2"/>
  <c r="F46" i="2"/>
  <c r="F50" i="2"/>
  <c r="F54" i="2"/>
  <c r="F58" i="2"/>
  <c r="F62" i="2"/>
  <c r="F69" i="2"/>
  <c r="F70" i="2"/>
  <c r="F74" i="2"/>
  <c r="F82" i="2"/>
  <c r="F86" i="2"/>
  <c r="F90" i="2"/>
  <c r="F94" i="2"/>
  <c r="F102" i="2"/>
  <c r="F105" i="2"/>
  <c r="F110" i="2"/>
  <c r="F111" i="2"/>
  <c r="F114" i="2"/>
  <c r="F117" i="2"/>
  <c r="F118" i="2"/>
  <c r="F122" i="2"/>
  <c r="F126" i="2"/>
  <c r="F138" i="2"/>
  <c r="F142" i="2"/>
  <c r="F150" i="2"/>
  <c r="F154" i="2"/>
  <c r="F158" i="2"/>
  <c r="F166" i="2"/>
  <c r="F170" i="2"/>
  <c r="F174" i="2"/>
  <c r="F178" i="2"/>
  <c r="F182" i="2"/>
  <c r="F186" i="2"/>
  <c r="F190" i="2"/>
  <c r="F194" i="2"/>
  <c r="F202" i="2"/>
  <c r="F206" i="2"/>
  <c r="F214" i="2"/>
  <c r="F218" i="2"/>
  <c r="F222" i="2"/>
  <c r="F226" i="2"/>
  <c r="F234" i="2"/>
  <c r="F238" i="2"/>
  <c r="F250" i="2"/>
  <c r="F254" i="2"/>
  <c r="F258" i="2"/>
  <c r="F266" i="2"/>
  <c r="F270" i="2"/>
  <c r="F278" i="2"/>
  <c r="F282" i="2"/>
  <c r="F286" i="2"/>
  <c r="F290" i="2"/>
  <c r="F294" i="2"/>
  <c r="F298" i="2"/>
  <c r="F302" i="2"/>
  <c r="F306" i="2"/>
  <c r="F310" i="2"/>
  <c r="F314" i="2"/>
  <c r="F318" i="2"/>
  <c r="F322" i="2"/>
  <c r="F326" i="2"/>
  <c r="F330" i="2"/>
  <c r="F338" i="2"/>
  <c r="F350" i="2"/>
  <c r="F358" i="2"/>
  <c r="F370" i="2"/>
  <c r="F382" i="2"/>
  <c r="F394" i="2"/>
  <c r="D609" i="2"/>
  <c r="H609" i="2" s="1"/>
  <c r="I609" i="2" s="1"/>
  <c r="D610" i="2"/>
  <c r="D626" i="2"/>
  <c r="H626" i="2" s="1"/>
  <c r="I626" i="2" s="1"/>
  <c r="D629" i="2"/>
  <c r="D634" i="2"/>
  <c r="H634" i="2" s="1"/>
  <c r="I634" i="2" s="1"/>
  <c r="C630" i="2" l="1"/>
  <c r="L630" i="2" s="1"/>
  <c r="F630" i="2"/>
  <c r="C614" i="2"/>
  <c r="L614" i="2" s="1"/>
  <c r="D614" i="2"/>
  <c r="H614" i="2" s="1"/>
  <c r="I614" i="2" s="1"/>
  <c r="F614" i="2"/>
  <c r="C598" i="2"/>
  <c r="L598" i="2" s="1"/>
  <c r="D598" i="2"/>
  <c r="H598" i="2" s="1"/>
  <c r="I598" i="2" s="1"/>
  <c r="F598" i="2"/>
  <c r="C594" i="2"/>
  <c r="L594" i="2" s="1"/>
  <c r="D594" i="2"/>
  <c r="H594" i="2" s="1"/>
  <c r="I594" i="2" s="1"/>
  <c r="F594" i="2"/>
  <c r="C578" i="2"/>
  <c r="G578" i="2" s="1"/>
  <c r="D578" i="2"/>
  <c r="E578" i="2" s="1"/>
  <c r="F578" i="2"/>
  <c r="C566" i="2"/>
  <c r="G566" i="2" s="1"/>
  <c r="D566" i="2"/>
  <c r="F566" i="2"/>
  <c r="C554" i="2"/>
  <c r="G554" i="2" s="1"/>
  <c r="D554" i="2"/>
  <c r="F554" i="2"/>
  <c r="C546" i="2"/>
  <c r="G546" i="2" s="1"/>
  <c r="D546" i="2"/>
  <c r="E546" i="2" s="1"/>
  <c r="F546" i="2"/>
  <c r="C530" i="2"/>
  <c r="L530" i="2" s="1"/>
  <c r="D530" i="2"/>
  <c r="F530" i="2"/>
  <c r="C514" i="2"/>
  <c r="G514" i="2" s="1"/>
  <c r="D514" i="2"/>
  <c r="F514" i="2"/>
  <c r="C498" i="2"/>
  <c r="G498" i="2" s="1"/>
  <c r="F498" i="2"/>
  <c r="D498" i="2"/>
  <c r="E498" i="2" s="1"/>
  <c r="J498" i="2" s="1"/>
  <c r="C482" i="2"/>
  <c r="G482" i="2" s="1"/>
  <c r="F482" i="2"/>
  <c r="D482" i="2"/>
  <c r="C466" i="2"/>
  <c r="G466" i="2" s="1"/>
  <c r="F466" i="2"/>
  <c r="D466" i="2"/>
  <c r="E466" i="2" s="1"/>
  <c r="J466" i="2" s="1"/>
  <c r="C450" i="2"/>
  <c r="G450" i="2" s="1"/>
  <c r="F450" i="2"/>
  <c r="D450" i="2"/>
  <c r="C434" i="2"/>
  <c r="F434" i="2"/>
  <c r="D434" i="2"/>
  <c r="H434" i="2" s="1"/>
  <c r="I434" i="2" s="1"/>
  <c r="F418" i="2"/>
  <c r="C418" i="2"/>
  <c r="L418" i="2" s="1"/>
  <c r="D418" i="2"/>
  <c r="E418" i="2" s="1"/>
  <c r="J418" i="2" s="1"/>
  <c r="C406" i="2"/>
  <c r="F406" i="2"/>
  <c r="D406" i="2"/>
  <c r="H406" i="2" s="1"/>
  <c r="I406" i="2" s="1"/>
  <c r="C402" i="2"/>
  <c r="L402" i="2" s="1"/>
  <c r="F402" i="2"/>
  <c r="D402" i="2"/>
  <c r="H402" i="2" s="1"/>
  <c r="I402" i="2" s="1"/>
  <c r="F390" i="2"/>
  <c r="D378" i="2"/>
  <c r="E378" i="2" s="1"/>
  <c r="J378" i="2" s="1"/>
  <c r="F378" i="2"/>
  <c r="C378" i="2"/>
  <c r="D366" i="2"/>
  <c r="E366" i="2" s="1"/>
  <c r="F366" i="2"/>
  <c r="C628" i="2"/>
  <c r="G628" i="2" s="1"/>
  <c r="F628" i="2"/>
  <c r="C620" i="2"/>
  <c r="L620" i="2" s="1"/>
  <c r="F620" i="2"/>
  <c r="C612" i="2"/>
  <c r="L612" i="2" s="1"/>
  <c r="F612" i="2"/>
  <c r="C604" i="2"/>
  <c r="L604" i="2" s="1"/>
  <c r="F604" i="2"/>
  <c r="D631" i="2"/>
  <c r="E631" i="2" s="1"/>
  <c r="F631" i="2"/>
  <c r="C627" i="2"/>
  <c r="F627" i="2"/>
  <c r="C623" i="2"/>
  <c r="L623" i="2" s="1"/>
  <c r="F623" i="2"/>
  <c r="D619" i="2"/>
  <c r="E619" i="2" s="1"/>
  <c r="F619" i="2"/>
  <c r="C619" i="2"/>
  <c r="L619" i="2" s="1"/>
  <c r="C615" i="2"/>
  <c r="L615" i="2" s="1"/>
  <c r="F615" i="2"/>
  <c r="D611" i="2"/>
  <c r="E611" i="2" s="1"/>
  <c r="F611" i="2"/>
  <c r="C607" i="2"/>
  <c r="F607" i="2"/>
  <c r="D603" i="2"/>
  <c r="E603" i="2" s="1"/>
  <c r="F603" i="2"/>
  <c r="C599" i="2"/>
  <c r="L599" i="2" s="1"/>
  <c r="F599" i="2"/>
  <c r="C595" i="2"/>
  <c r="L595" i="2" s="1"/>
  <c r="F595" i="2"/>
  <c r="C591" i="2"/>
  <c r="F591" i="2"/>
  <c r="C587" i="2"/>
  <c r="F587" i="2"/>
  <c r="D583" i="2"/>
  <c r="H583" i="2" s="1"/>
  <c r="I583" i="2" s="1"/>
  <c r="F583" i="2"/>
  <c r="C579" i="2"/>
  <c r="L579" i="2" s="1"/>
  <c r="F579" i="2"/>
  <c r="C575" i="2"/>
  <c r="L575" i="2" s="1"/>
  <c r="F575" i="2"/>
  <c r="C571" i="2"/>
  <c r="L571" i="2" s="1"/>
  <c r="F571" i="2"/>
  <c r="C567" i="2"/>
  <c r="G567" i="2" s="1"/>
  <c r="F567" i="2"/>
  <c r="C563" i="2"/>
  <c r="L563" i="2" s="1"/>
  <c r="F563" i="2"/>
  <c r="C559" i="2"/>
  <c r="L559" i="2" s="1"/>
  <c r="F559" i="2"/>
  <c r="D555" i="2"/>
  <c r="E555" i="2" s="1"/>
  <c r="F555" i="2"/>
  <c r="C551" i="2"/>
  <c r="L551" i="2" s="1"/>
  <c r="F551" i="2"/>
  <c r="D547" i="2"/>
  <c r="H547" i="2" s="1"/>
  <c r="I547" i="2" s="1"/>
  <c r="F547" i="2"/>
  <c r="C547" i="2"/>
  <c r="L547" i="2" s="1"/>
  <c r="C543" i="2"/>
  <c r="L543" i="2" s="1"/>
  <c r="F543" i="2"/>
  <c r="C539" i="2"/>
  <c r="G539" i="2" s="1"/>
  <c r="F539" i="2"/>
  <c r="C535" i="2"/>
  <c r="G535" i="2" s="1"/>
  <c r="F535" i="2"/>
  <c r="D531" i="2"/>
  <c r="H531" i="2" s="1"/>
  <c r="I531" i="2" s="1"/>
  <c r="F531" i="2"/>
  <c r="C527" i="2"/>
  <c r="G527" i="2" s="1"/>
  <c r="F527" i="2"/>
  <c r="C523" i="2"/>
  <c r="G523" i="2" s="1"/>
  <c r="F523" i="2"/>
  <c r="D519" i="2"/>
  <c r="H519" i="2" s="1"/>
  <c r="I519" i="2" s="1"/>
  <c r="F519" i="2"/>
  <c r="C519" i="2"/>
  <c r="C515" i="2"/>
  <c r="F515" i="2"/>
  <c r="C511" i="2"/>
  <c r="G511" i="2" s="1"/>
  <c r="F511" i="2"/>
  <c r="C507" i="2"/>
  <c r="G507" i="2" s="1"/>
  <c r="F507" i="2"/>
  <c r="D503" i="2"/>
  <c r="E503" i="2" s="1"/>
  <c r="J503" i="2" s="1"/>
  <c r="F503" i="2"/>
  <c r="C499" i="2"/>
  <c r="G499" i="2" s="1"/>
  <c r="F499" i="2"/>
  <c r="C495" i="2"/>
  <c r="G495" i="2" s="1"/>
  <c r="F495" i="2"/>
  <c r="D491" i="2"/>
  <c r="E491" i="2" s="1"/>
  <c r="J491" i="2" s="1"/>
  <c r="C491" i="2"/>
  <c r="G491" i="2" s="1"/>
  <c r="F491" i="2"/>
  <c r="C487" i="2"/>
  <c r="L487" i="2" s="1"/>
  <c r="F487" i="2"/>
  <c r="D483" i="2"/>
  <c r="H483" i="2" s="1"/>
  <c r="I483" i="2" s="1"/>
  <c r="F483" i="2"/>
  <c r="C479" i="2"/>
  <c r="G479" i="2" s="1"/>
  <c r="F479" i="2"/>
  <c r="D475" i="2"/>
  <c r="E475" i="2" s="1"/>
  <c r="J475" i="2" s="1"/>
  <c r="F475" i="2"/>
  <c r="C471" i="2"/>
  <c r="G471" i="2" s="1"/>
  <c r="F471" i="2"/>
  <c r="C467" i="2"/>
  <c r="F467" i="2"/>
  <c r="C463" i="2"/>
  <c r="G463" i="2" s="1"/>
  <c r="F463" i="2"/>
  <c r="D459" i="2"/>
  <c r="H459" i="2" s="1"/>
  <c r="I459" i="2" s="1"/>
  <c r="F459" i="2"/>
  <c r="C455" i="2"/>
  <c r="G455" i="2" s="1"/>
  <c r="F455" i="2"/>
  <c r="D451" i="2"/>
  <c r="E451" i="2" s="1"/>
  <c r="F451" i="2"/>
  <c r="C447" i="2"/>
  <c r="G447" i="2" s="1"/>
  <c r="F447" i="2"/>
  <c r="C443" i="2"/>
  <c r="G443" i="2" s="1"/>
  <c r="F443" i="2"/>
  <c r="C439" i="2"/>
  <c r="G439" i="2" s="1"/>
  <c r="F439" i="2"/>
  <c r="C435" i="2"/>
  <c r="F435" i="2"/>
  <c r="C431" i="2"/>
  <c r="L431" i="2" s="1"/>
  <c r="F431" i="2"/>
  <c r="C427" i="2"/>
  <c r="G427" i="2" s="1"/>
  <c r="F427" i="2"/>
  <c r="C423" i="2"/>
  <c r="G423" i="2" s="1"/>
  <c r="F423" i="2"/>
  <c r="D419" i="2"/>
  <c r="E419" i="2" s="1"/>
  <c r="F419" i="2"/>
  <c r="C419" i="2"/>
  <c r="G419" i="2" s="1"/>
  <c r="C415" i="2"/>
  <c r="G415" i="2" s="1"/>
  <c r="F415" i="2"/>
  <c r="C411" i="2"/>
  <c r="G411" i="2" s="1"/>
  <c r="F411" i="2"/>
  <c r="C407" i="2"/>
  <c r="G407" i="2" s="1"/>
  <c r="F407" i="2"/>
  <c r="C403" i="2"/>
  <c r="L403" i="2" s="1"/>
  <c r="F403" i="2"/>
  <c r="C399" i="2"/>
  <c r="G399" i="2" s="1"/>
  <c r="F399" i="2"/>
  <c r="D395" i="2"/>
  <c r="H395" i="2" s="1"/>
  <c r="I395" i="2" s="1"/>
  <c r="F395" i="2"/>
  <c r="C391" i="2"/>
  <c r="L391" i="2" s="1"/>
  <c r="F391" i="2"/>
  <c r="C387" i="2"/>
  <c r="G387" i="2" s="1"/>
  <c r="F387" i="2"/>
  <c r="C383" i="2"/>
  <c r="G383" i="2" s="1"/>
  <c r="F383" i="2"/>
  <c r="D383" i="2"/>
  <c r="E383" i="2" s="1"/>
  <c r="J383" i="2" s="1"/>
  <c r="C379" i="2"/>
  <c r="G379" i="2" s="1"/>
  <c r="F379" i="2"/>
  <c r="C375" i="2"/>
  <c r="L375" i="2" s="1"/>
  <c r="F375" i="2"/>
  <c r="C371" i="2"/>
  <c r="G371" i="2" s="1"/>
  <c r="F371" i="2"/>
  <c r="C367" i="2"/>
  <c r="G367" i="2" s="1"/>
  <c r="F367" i="2"/>
  <c r="D367" i="2"/>
  <c r="H367" i="2" s="1"/>
  <c r="I367" i="2" s="1"/>
  <c r="C363" i="2"/>
  <c r="L363" i="2" s="1"/>
  <c r="F363" i="2"/>
  <c r="C359" i="2"/>
  <c r="G359" i="2" s="1"/>
  <c r="F359" i="2"/>
  <c r="D355" i="2"/>
  <c r="E355" i="2" s="1"/>
  <c r="F355" i="2"/>
  <c r="C355" i="2"/>
  <c r="G355" i="2" s="1"/>
  <c r="C351" i="2"/>
  <c r="G351" i="2" s="1"/>
  <c r="F351" i="2"/>
  <c r="D351" i="2"/>
  <c r="H351" i="2" s="1"/>
  <c r="I351" i="2" s="1"/>
  <c r="C347" i="2"/>
  <c r="L347" i="2" s="1"/>
  <c r="F347" i="2"/>
  <c r="C343" i="2"/>
  <c r="G343" i="2" s="1"/>
  <c r="F343" i="2"/>
  <c r="C339" i="2"/>
  <c r="G339" i="2" s="1"/>
  <c r="F339" i="2"/>
  <c r="C335" i="2"/>
  <c r="F335" i="2"/>
  <c r="D335" i="2"/>
  <c r="H335" i="2" s="1"/>
  <c r="I335" i="2" s="1"/>
  <c r="D331" i="2"/>
  <c r="F331" i="2"/>
  <c r="C331" i="2"/>
  <c r="G331" i="2" s="1"/>
  <c r="D327" i="2"/>
  <c r="F327" i="2"/>
  <c r="C323" i="2"/>
  <c r="G323" i="2" s="1"/>
  <c r="F323" i="2"/>
  <c r="C319" i="2"/>
  <c r="F319" i="2"/>
  <c r="D319" i="2"/>
  <c r="H319" i="2" s="1"/>
  <c r="I319" i="2" s="1"/>
  <c r="C315" i="2"/>
  <c r="F315" i="2"/>
  <c r="C311" i="2"/>
  <c r="G311" i="2" s="1"/>
  <c r="F311" i="2"/>
  <c r="C307" i="2"/>
  <c r="F307" i="2"/>
  <c r="C303" i="2"/>
  <c r="F303" i="2"/>
  <c r="D303" i="2"/>
  <c r="D299" i="2"/>
  <c r="H299" i="2" s="1"/>
  <c r="I299" i="2" s="1"/>
  <c r="F299" i="2"/>
  <c r="C295" i="2"/>
  <c r="G295" i="2" s="1"/>
  <c r="F295" i="2"/>
  <c r="C291" i="2"/>
  <c r="L291" i="2" s="1"/>
  <c r="F291" i="2"/>
  <c r="C287" i="2"/>
  <c r="G287" i="2" s="1"/>
  <c r="F287" i="2"/>
  <c r="D287" i="2"/>
  <c r="H287" i="2" s="1"/>
  <c r="I287" i="2" s="1"/>
  <c r="C283" i="2"/>
  <c r="F283" i="2"/>
  <c r="C279" i="2"/>
  <c r="G279" i="2" s="1"/>
  <c r="F279" i="2"/>
  <c r="C275" i="2"/>
  <c r="L275" i="2" s="1"/>
  <c r="F275" i="2"/>
  <c r="C271" i="2"/>
  <c r="G271" i="2" s="1"/>
  <c r="F271" i="2"/>
  <c r="D271" i="2"/>
  <c r="E271" i="2" s="1"/>
  <c r="J271" i="2" s="1"/>
  <c r="C267" i="2"/>
  <c r="G267" i="2" s="1"/>
  <c r="F267" i="2"/>
  <c r="C263" i="2"/>
  <c r="F263" i="2"/>
  <c r="C259" i="2"/>
  <c r="F259" i="2"/>
  <c r="C255" i="2"/>
  <c r="G255" i="2" s="1"/>
  <c r="F255" i="2"/>
  <c r="D255" i="2"/>
  <c r="C251" i="2"/>
  <c r="G251" i="2" s="1"/>
  <c r="F251" i="2"/>
  <c r="C247" i="2"/>
  <c r="L247" i="2" s="1"/>
  <c r="F247" i="2"/>
  <c r="C243" i="2"/>
  <c r="G243" i="2" s="1"/>
  <c r="F243" i="2"/>
  <c r="C239" i="2"/>
  <c r="G239" i="2" s="1"/>
  <c r="F239" i="2"/>
  <c r="D239" i="2"/>
  <c r="E239" i="2" s="1"/>
  <c r="J239" i="2" s="1"/>
  <c r="C235" i="2"/>
  <c r="F235" i="2"/>
  <c r="C231" i="2"/>
  <c r="G231" i="2" s="1"/>
  <c r="F231" i="2"/>
  <c r="C227" i="2"/>
  <c r="G227" i="2" s="1"/>
  <c r="F227" i="2"/>
  <c r="C223" i="2"/>
  <c r="G223" i="2" s="1"/>
  <c r="F223" i="2"/>
  <c r="D223" i="2"/>
  <c r="H223" i="2" s="1"/>
  <c r="I223" i="2" s="1"/>
  <c r="D219" i="2"/>
  <c r="H219" i="2" s="1"/>
  <c r="I219" i="2" s="1"/>
  <c r="F219" i="2"/>
  <c r="C219" i="2"/>
  <c r="L219" i="2" s="1"/>
  <c r="C215" i="2"/>
  <c r="G215" i="2" s="1"/>
  <c r="F215" i="2"/>
  <c r="C211" i="2"/>
  <c r="G211" i="2" s="1"/>
  <c r="F211" i="2"/>
  <c r="C207" i="2"/>
  <c r="G207" i="2" s="1"/>
  <c r="F207" i="2"/>
  <c r="D207" i="2"/>
  <c r="E207" i="2" s="1"/>
  <c r="J207" i="2" s="1"/>
  <c r="C203" i="2"/>
  <c r="F203" i="2"/>
  <c r="C199" i="2"/>
  <c r="G199" i="2" s="1"/>
  <c r="F199" i="2"/>
  <c r="C195" i="2"/>
  <c r="G195" i="2" s="1"/>
  <c r="F195" i="2"/>
  <c r="F191" i="2"/>
  <c r="C187" i="2"/>
  <c r="L187" i="2" s="1"/>
  <c r="F187" i="2"/>
  <c r="C183" i="2"/>
  <c r="G183" i="2" s="1"/>
  <c r="F183" i="2"/>
  <c r="D183" i="2"/>
  <c r="E183" i="2" s="1"/>
  <c r="C179" i="2"/>
  <c r="G179" i="2" s="1"/>
  <c r="F179" i="2"/>
  <c r="C171" i="2"/>
  <c r="G171" i="2" s="1"/>
  <c r="F171" i="2"/>
  <c r="C167" i="2"/>
  <c r="F167" i="2"/>
  <c r="C163" i="2"/>
  <c r="F163" i="2"/>
  <c r="D155" i="2"/>
  <c r="H155" i="2" s="1"/>
  <c r="I155" i="2" s="1"/>
  <c r="F155" i="2"/>
  <c r="C151" i="2"/>
  <c r="G151" i="2" s="1"/>
  <c r="F151" i="2"/>
  <c r="C147" i="2"/>
  <c r="L147" i="2" s="1"/>
  <c r="F147" i="2"/>
  <c r="C135" i="2"/>
  <c r="F135" i="2"/>
  <c r="C131" i="2"/>
  <c r="G131" i="2" s="1"/>
  <c r="F131" i="2"/>
  <c r="D131" i="2"/>
  <c r="H131" i="2" s="1"/>
  <c r="I131" i="2" s="1"/>
  <c r="C119" i="2"/>
  <c r="L119" i="2" s="1"/>
  <c r="F119" i="2"/>
  <c r="D115" i="2"/>
  <c r="F115" i="2"/>
  <c r="C103" i="2"/>
  <c r="G103" i="2" s="1"/>
  <c r="F103" i="2"/>
  <c r="C99" i="2"/>
  <c r="G99" i="2" s="1"/>
  <c r="F99" i="2"/>
  <c r="D99" i="2"/>
  <c r="H99" i="2" s="1"/>
  <c r="I99" i="2" s="1"/>
  <c r="C87" i="2"/>
  <c r="G87" i="2" s="1"/>
  <c r="F87" i="2"/>
  <c r="C83" i="2"/>
  <c r="G83" i="2" s="1"/>
  <c r="F83" i="2"/>
  <c r="C71" i="2"/>
  <c r="G71" i="2" s="1"/>
  <c r="F71" i="2"/>
  <c r="C67" i="2"/>
  <c r="F67" i="2"/>
  <c r="D67" i="2"/>
  <c r="E67" i="2" s="1"/>
  <c r="J67" i="2" s="1"/>
  <c r="C55" i="2"/>
  <c r="L55" i="2" s="1"/>
  <c r="F55" i="2"/>
  <c r="D51" i="2"/>
  <c r="E51" i="2" s="1"/>
  <c r="F51" i="2"/>
  <c r="C43" i="2"/>
  <c r="G43" i="2" s="1"/>
  <c r="F43" i="2"/>
  <c r="D43" i="2"/>
  <c r="E43" i="2" s="1"/>
  <c r="J43" i="2" s="1"/>
  <c r="C35" i="2"/>
  <c r="L35" i="2" s="1"/>
  <c r="F35" i="2"/>
  <c r="C27" i="2"/>
  <c r="G27" i="2" s="1"/>
  <c r="F27" i="2"/>
  <c r="D19" i="2"/>
  <c r="E19" i="2" s="1"/>
  <c r="F19" i="2"/>
  <c r="C15" i="2"/>
  <c r="L15" i="2" s="1"/>
  <c r="F15" i="2"/>
  <c r="D15" i="2"/>
  <c r="E15" i="2" s="1"/>
  <c r="J15" i="2" s="1"/>
  <c r="C3" i="2"/>
  <c r="F3" i="2"/>
  <c r="D630" i="2"/>
  <c r="H630" i="2" s="1"/>
  <c r="I630" i="2" s="1"/>
  <c r="C618" i="2"/>
  <c r="F618" i="2"/>
  <c r="C602" i="2"/>
  <c r="G602" i="2" s="1"/>
  <c r="F602" i="2"/>
  <c r="C586" i="2"/>
  <c r="L586" i="2" s="1"/>
  <c r="D586" i="2"/>
  <c r="H586" i="2" s="1"/>
  <c r="I586" i="2" s="1"/>
  <c r="F586" i="2"/>
  <c r="D562" i="2"/>
  <c r="H562" i="2" s="1"/>
  <c r="I562" i="2" s="1"/>
  <c r="F562" i="2"/>
  <c r="C562" i="2"/>
  <c r="L562" i="2" s="1"/>
  <c r="C542" i="2"/>
  <c r="G542" i="2" s="1"/>
  <c r="D542" i="2"/>
  <c r="E542" i="2" s="1"/>
  <c r="F542" i="2"/>
  <c r="C526" i="2"/>
  <c r="G526" i="2" s="1"/>
  <c r="D526" i="2"/>
  <c r="H526" i="2" s="1"/>
  <c r="I526" i="2" s="1"/>
  <c r="F526" i="2"/>
  <c r="C506" i="2"/>
  <c r="G506" i="2" s="1"/>
  <c r="D506" i="2"/>
  <c r="H506" i="2" s="1"/>
  <c r="I506" i="2" s="1"/>
  <c r="F506" i="2"/>
  <c r="C486" i="2"/>
  <c r="L486" i="2" s="1"/>
  <c r="F486" i="2"/>
  <c r="D486" i="2"/>
  <c r="C470" i="2"/>
  <c r="G470" i="2" s="1"/>
  <c r="F470" i="2"/>
  <c r="D470" i="2"/>
  <c r="E470" i="2" s="1"/>
  <c r="C458" i="2"/>
  <c r="L458" i="2" s="1"/>
  <c r="F458" i="2"/>
  <c r="D458" i="2"/>
  <c r="H458" i="2" s="1"/>
  <c r="I458" i="2" s="1"/>
  <c r="F438" i="2"/>
  <c r="D438" i="2"/>
  <c r="C438" i="2"/>
  <c r="G438" i="2" s="1"/>
  <c r="C422" i="2"/>
  <c r="G422" i="2" s="1"/>
  <c r="F422" i="2"/>
  <c r="D422" i="2"/>
  <c r="E422" i="2" s="1"/>
  <c r="J422" i="2" s="1"/>
  <c r="D386" i="2"/>
  <c r="E386" i="2" s="1"/>
  <c r="J386" i="2" s="1"/>
  <c r="F386" i="2"/>
  <c r="D354" i="2"/>
  <c r="H354" i="2" s="1"/>
  <c r="I354" i="2" s="1"/>
  <c r="F354" i="2"/>
  <c r="C354" i="2"/>
  <c r="G354" i="2" s="1"/>
  <c r="D346" i="2"/>
  <c r="H346" i="2" s="1"/>
  <c r="I346" i="2" s="1"/>
  <c r="F346" i="2"/>
  <c r="F334" i="2"/>
  <c r="D274" i="2"/>
  <c r="E274" i="2" s="1"/>
  <c r="J274" i="2" s="1"/>
  <c r="F274" i="2"/>
  <c r="C274" i="2"/>
  <c r="L274" i="2" s="1"/>
  <c r="D262" i="2"/>
  <c r="H262" i="2" s="1"/>
  <c r="I262" i="2" s="1"/>
  <c r="F262" i="2"/>
  <c r="D246" i="2"/>
  <c r="E246" i="2" s="1"/>
  <c r="J246" i="2" s="1"/>
  <c r="F246" i="2"/>
  <c r="C246" i="2"/>
  <c r="G246" i="2" s="1"/>
  <c r="D242" i="2"/>
  <c r="E242" i="2" s="1"/>
  <c r="J242" i="2" s="1"/>
  <c r="F242" i="2"/>
  <c r="C242" i="2"/>
  <c r="G242" i="2" s="1"/>
  <c r="D230" i="2"/>
  <c r="E230" i="2" s="1"/>
  <c r="J230" i="2" s="1"/>
  <c r="F230" i="2"/>
  <c r="D210" i="2"/>
  <c r="E210" i="2" s="1"/>
  <c r="J210" i="2" s="1"/>
  <c r="F210" i="2"/>
  <c r="C210" i="2"/>
  <c r="G210" i="2" s="1"/>
  <c r="D198" i="2"/>
  <c r="H198" i="2" s="1"/>
  <c r="I198" i="2" s="1"/>
  <c r="F198" i="2"/>
  <c r="F162" i="2"/>
  <c r="D146" i="2"/>
  <c r="F146" i="2"/>
  <c r="F134" i="2"/>
  <c r="D130" i="2"/>
  <c r="E130" i="2" s="1"/>
  <c r="J130" i="2" s="1"/>
  <c r="F130" i="2"/>
  <c r="C130" i="2"/>
  <c r="G130" i="2" s="1"/>
  <c r="F106" i="2"/>
  <c r="D98" i="2"/>
  <c r="E98" i="2" s="1"/>
  <c r="J98" i="2" s="1"/>
  <c r="F98" i="2"/>
  <c r="F78" i="2"/>
  <c r="D66" i="2"/>
  <c r="H66" i="2" s="1"/>
  <c r="I66" i="2" s="1"/>
  <c r="F66" i="2"/>
  <c r="C66" i="2"/>
  <c r="G66" i="2" s="1"/>
  <c r="C42" i="2"/>
  <c r="G42" i="2" s="1"/>
  <c r="F42" i="2"/>
  <c r="D42" i="2"/>
  <c r="H42" i="2" s="1"/>
  <c r="I42" i="2" s="1"/>
  <c r="D34" i="2"/>
  <c r="H34" i="2" s="1"/>
  <c r="I34" i="2" s="1"/>
  <c r="F34" i="2"/>
  <c r="C30" i="2"/>
  <c r="G30" i="2" s="1"/>
  <c r="F30" i="2"/>
  <c r="D30" i="2"/>
  <c r="H30" i="2" s="1"/>
  <c r="I30" i="2" s="1"/>
  <c r="C22" i="2"/>
  <c r="G22" i="2" s="1"/>
  <c r="F22" i="2"/>
  <c r="C14" i="2"/>
  <c r="G14" i="2" s="1"/>
  <c r="F14" i="2"/>
  <c r="D14" i="2"/>
  <c r="H14" i="2" s="1"/>
  <c r="I14" i="2" s="1"/>
  <c r="C6" i="2"/>
  <c r="G6" i="2" s="1"/>
  <c r="F6" i="2"/>
  <c r="D618" i="2"/>
  <c r="H618" i="2" s="1"/>
  <c r="I618" i="2" s="1"/>
  <c r="C622" i="2"/>
  <c r="G622" i="2" s="1"/>
  <c r="D622" i="2"/>
  <c r="F622" i="2"/>
  <c r="C606" i="2"/>
  <c r="G606" i="2" s="1"/>
  <c r="D606" i="2"/>
  <c r="E606" i="2" s="1"/>
  <c r="F606" i="2"/>
  <c r="D590" i="2"/>
  <c r="H590" i="2" s="1"/>
  <c r="I590" i="2" s="1"/>
  <c r="C590" i="2"/>
  <c r="L590" i="2" s="1"/>
  <c r="F590" i="2"/>
  <c r="C574" i="2"/>
  <c r="L574" i="2" s="1"/>
  <c r="D574" i="2"/>
  <c r="F574" i="2"/>
  <c r="C558" i="2"/>
  <c r="L558" i="2" s="1"/>
  <c r="D558" i="2"/>
  <c r="H558" i="2" s="1"/>
  <c r="I558" i="2" s="1"/>
  <c r="F558" i="2"/>
  <c r="C550" i="2"/>
  <c r="G550" i="2" s="1"/>
  <c r="D550" i="2"/>
  <c r="H550" i="2" s="1"/>
  <c r="I550" i="2" s="1"/>
  <c r="F550" i="2"/>
  <c r="C534" i="2"/>
  <c r="G534" i="2" s="1"/>
  <c r="D534" i="2"/>
  <c r="E534" i="2" s="1"/>
  <c r="F534" i="2"/>
  <c r="D518" i="2"/>
  <c r="H518" i="2" s="1"/>
  <c r="I518" i="2" s="1"/>
  <c r="C518" i="2"/>
  <c r="G518" i="2" s="1"/>
  <c r="F518" i="2"/>
  <c r="C502" i="2"/>
  <c r="D502" i="2"/>
  <c r="H502" i="2" s="1"/>
  <c r="I502" i="2" s="1"/>
  <c r="F502" i="2"/>
  <c r="C490" i="2"/>
  <c r="F490" i="2"/>
  <c r="D490" i="2"/>
  <c r="H490" i="2" s="1"/>
  <c r="I490" i="2" s="1"/>
  <c r="C474" i="2"/>
  <c r="G474" i="2" s="1"/>
  <c r="F474" i="2"/>
  <c r="D474" i="2"/>
  <c r="E474" i="2" s="1"/>
  <c r="J474" i="2" s="1"/>
  <c r="C454" i="2"/>
  <c r="G454" i="2" s="1"/>
  <c r="F454" i="2"/>
  <c r="D454" i="2"/>
  <c r="H454" i="2" s="1"/>
  <c r="I454" i="2" s="1"/>
  <c r="F442" i="2"/>
  <c r="D442" i="2"/>
  <c r="H442" i="2" s="1"/>
  <c r="I442" i="2" s="1"/>
  <c r="C442" i="2"/>
  <c r="G442" i="2" s="1"/>
  <c r="C426" i="2"/>
  <c r="G426" i="2" s="1"/>
  <c r="F426" i="2"/>
  <c r="D426" i="2"/>
  <c r="C410" i="2"/>
  <c r="G410" i="2" s="1"/>
  <c r="F410" i="2"/>
  <c r="D410" i="2"/>
  <c r="H410" i="2" s="1"/>
  <c r="I410" i="2" s="1"/>
  <c r="D374" i="2"/>
  <c r="E374" i="2" s="1"/>
  <c r="F374" i="2"/>
  <c r="C374" i="2"/>
  <c r="L374" i="2" s="1"/>
  <c r="C633" i="2"/>
  <c r="G633" i="2" s="1"/>
  <c r="F633" i="2"/>
  <c r="C629" i="2"/>
  <c r="G629" i="2" s="1"/>
  <c r="F629" i="2"/>
  <c r="C625" i="2"/>
  <c r="F625" i="2"/>
  <c r="C621" i="2"/>
  <c r="L621" i="2" s="1"/>
  <c r="F621" i="2"/>
  <c r="C617" i="2"/>
  <c r="L617" i="2" s="1"/>
  <c r="F617" i="2"/>
  <c r="C613" i="2"/>
  <c r="G613" i="2" s="1"/>
  <c r="F613" i="2"/>
  <c r="C609" i="2"/>
  <c r="L609" i="2" s="1"/>
  <c r="F609" i="2"/>
  <c r="C605" i="2"/>
  <c r="G605" i="2" s="1"/>
  <c r="F605" i="2"/>
  <c r="D605" i="2"/>
  <c r="H605" i="2" s="1"/>
  <c r="I605" i="2" s="1"/>
  <c r="C601" i="2"/>
  <c r="L601" i="2" s="1"/>
  <c r="F601" i="2"/>
  <c r="C597" i="2"/>
  <c r="G597" i="2" s="1"/>
  <c r="F597" i="2"/>
  <c r="D597" i="2"/>
  <c r="H597" i="2" s="1"/>
  <c r="I597" i="2" s="1"/>
  <c r="C593" i="2"/>
  <c r="G593" i="2" s="1"/>
  <c r="D593" i="2"/>
  <c r="H593" i="2" s="1"/>
  <c r="I593" i="2" s="1"/>
  <c r="F593" i="2"/>
  <c r="C589" i="2"/>
  <c r="G589" i="2" s="1"/>
  <c r="F589" i="2"/>
  <c r="D589" i="2"/>
  <c r="H589" i="2" s="1"/>
  <c r="I589" i="2" s="1"/>
  <c r="C585" i="2"/>
  <c r="G585" i="2" s="1"/>
  <c r="D585" i="2"/>
  <c r="H585" i="2" s="1"/>
  <c r="I585" i="2" s="1"/>
  <c r="F585" i="2"/>
  <c r="C581" i="2"/>
  <c r="G581" i="2" s="1"/>
  <c r="F581" i="2"/>
  <c r="D581" i="2"/>
  <c r="H581" i="2" s="1"/>
  <c r="I581" i="2" s="1"/>
  <c r="C577" i="2"/>
  <c r="L577" i="2" s="1"/>
  <c r="D577" i="2"/>
  <c r="H577" i="2" s="1"/>
  <c r="I577" i="2" s="1"/>
  <c r="F577" i="2"/>
  <c r="C573" i="2"/>
  <c r="G573" i="2" s="1"/>
  <c r="F573" i="2"/>
  <c r="D573" i="2"/>
  <c r="H573" i="2" s="1"/>
  <c r="I573" i="2" s="1"/>
  <c r="C569" i="2"/>
  <c r="G569" i="2" s="1"/>
  <c r="D569" i="2"/>
  <c r="H569" i="2" s="1"/>
  <c r="I569" i="2" s="1"/>
  <c r="F569" i="2"/>
  <c r="C565" i="2"/>
  <c r="G565" i="2" s="1"/>
  <c r="F565" i="2"/>
  <c r="D565" i="2"/>
  <c r="E565" i="2" s="1"/>
  <c r="C561" i="2"/>
  <c r="G561" i="2" s="1"/>
  <c r="D561" i="2"/>
  <c r="H561" i="2" s="1"/>
  <c r="I561" i="2" s="1"/>
  <c r="F561" i="2"/>
  <c r="C557" i="2"/>
  <c r="G557" i="2" s="1"/>
  <c r="F557" i="2"/>
  <c r="D557" i="2"/>
  <c r="H557" i="2" s="1"/>
  <c r="I557" i="2" s="1"/>
  <c r="C553" i="2"/>
  <c r="L553" i="2" s="1"/>
  <c r="D553" i="2"/>
  <c r="H553" i="2" s="1"/>
  <c r="I553" i="2" s="1"/>
  <c r="F553" i="2"/>
  <c r="C549" i="2"/>
  <c r="G549" i="2" s="1"/>
  <c r="F549" i="2"/>
  <c r="D549" i="2"/>
  <c r="H549" i="2" s="1"/>
  <c r="I549" i="2" s="1"/>
  <c r="C545" i="2"/>
  <c r="L545" i="2" s="1"/>
  <c r="D545" i="2"/>
  <c r="H545" i="2" s="1"/>
  <c r="I545" i="2" s="1"/>
  <c r="F545" i="2"/>
  <c r="C541" i="2"/>
  <c r="G541" i="2" s="1"/>
  <c r="F541" i="2"/>
  <c r="D541" i="2"/>
  <c r="C537" i="2"/>
  <c r="G537" i="2" s="1"/>
  <c r="D537" i="2"/>
  <c r="H537" i="2" s="1"/>
  <c r="I537" i="2" s="1"/>
  <c r="F537" i="2"/>
  <c r="C533" i="2"/>
  <c r="F533" i="2"/>
  <c r="D533" i="2"/>
  <c r="H533" i="2" s="1"/>
  <c r="I533" i="2" s="1"/>
  <c r="C529" i="2"/>
  <c r="L529" i="2" s="1"/>
  <c r="D529" i="2"/>
  <c r="E529" i="2" s="1"/>
  <c r="J529" i="2" s="1"/>
  <c r="F529" i="2"/>
  <c r="C525" i="2"/>
  <c r="G525" i="2" s="1"/>
  <c r="F525" i="2"/>
  <c r="D525" i="2"/>
  <c r="H525" i="2" s="1"/>
  <c r="I525" i="2" s="1"/>
  <c r="C521" i="2"/>
  <c r="G521" i="2" s="1"/>
  <c r="D521" i="2"/>
  <c r="H521" i="2" s="1"/>
  <c r="I521" i="2" s="1"/>
  <c r="F521" i="2"/>
  <c r="C517" i="2"/>
  <c r="G517" i="2" s="1"/>
  <c r="F517" i="2"/>
  <c r="D517" i="2"/>
  <c r="E517" i="2" s="1"/>
  <c r="J517" i="2" s="1"/>
  <c r="C513" i="2"/>
  <c r="G513" i="2" s="1"/>
  <c r="D513" i="2"/>
  <c r="E513" i="2" s="1"/>
  <c r="J513" i="2" s="1"/>
  <c r="F513" i="2"/>
  <c r="C509" i="2"/>
  <c r="G509" i="2" s="1"/>
  <c r="F509" i="2"/>
  <c r="D509" i="2"/>
  <c r="H509" i="2" s="1"/>
  <c r="I509" i="2" s="1"/>
  <c r="C505" i="2"/>
  <c r="G505" i="2" s="1"/>
  <c r="D505" i="2"/>
  <c r="H505" i="2" s="1"/>
  <c r="I505" i="2" s="1"/>
  <c r="F505" i="2"/>
  <c r="C501" i="2"/>
  <c r="L501" i="2" s="1"/>
  <c r="F501" i="2"/>
  <c r="D501" i="2"/>
  <c r="H501" i="2" s="1"/>
  <c r="I501" i="2" s="1"/>
  <c r="C497" i="2"/>
  <c r="G497" i="2" s="1"/>
  <c r="F497" i="2"/>
  <c r="D497" i="2"/>
  <c r="C493" i="2"/>
  <c r="G493" i="2" s="1"/>
  <c r="F493" i="2"/>
  <c r="D493" i="2"/>
  <c r="E493" i="2" s="1"/>
  <c r="J493" i="2" s="1"/>
  <c r="C489" i="2"/>
  <c r="G489" i="2" s="1"/>
  <c r="F489" i="2"/>
  <c r="D489" i="2"/>
  <c r="H489" i="2" s="1"/>
  <c r="I489" i="2" s="1"/>
  <c r="C485" i="2"/>
  <c r="G485" i="2" s="1"/>
  <c r="F485" i="2"/>
  <c r="D485" i="2"/>
  <c r="H485" i="2" s="1"/>
  <c r="I485" i="2" s="1"/>
  <c r="C481" i="2"/>
  <c r="G481" i="2" s="1"/>
  <c r="F481" i="2"/>
  <c r="D481" i="2"/>
  <c r="H481" i="2" s="1"/>
  <c r="I481" i="2" s="1"/>
  <c r="C477" i="2"/>
  <c r="G477" i="2" s="1"/>
  <c r="F477" i="2"/>
  <c r="D477" i="2"/>
  <c r="H477" i="2" s="1"/>
  <c r="I477" i="2" s="1"/>
  <c r="C473" i="2"/>
  <c r="G473" i="2" s="1"/>
  <c r="F473" i="2"/>
  <c r="D473" i="2"/>
  <c r="H473" i="2" s="1"/>
  <c r="I473" i="2" s="1"/>
  <c r="C469" i="2"/>
  <c r="G469" i="2" s="1"/>
  <c r="F469" i="2"/>
  <c r="D469" i="2"/>
  <c r="H469" i="2" s="1"/>
  <c r="I469" i="2" s="1"/>
  <c r="C465" i="2"/>
  <c r="G465" i="2" s="1"/>
  <c r="F465" i="2"/>
  <c r="D465" i="2"/>
  <c r="E465" i="2" s="1"/>
  <c r="J465" i="2" s="1"/>
  <c r="C461" i="2"/>
  <c r="G461" i="2" s="1"/>
  <c r="F461" i="2"/>
  <c r="D461" i="2"/>
  <c r="H461" i="2" s="1"/>
  <c r="I461" i="2" s="1"/>
  <c r="C457" i="2"/>
  <c r="G457" i="2" s="1"/>
  <c r="F457" i="2"/>
  <c r="D457" i="2"/>
  <c r="H457" i="2" s="1"/>
  <c r="I457" i="2" s="1"/>
  <c r="C453" i="2"/>
  <c r="G453" i="2" s="1"/>
  <c r="F453" i="2"/>
  <c r="D453" i="2"/>
  <c r="H453" i="2" s="1"/>
  <c r="I453" i="2" s="1"/>
  <c r="C449" i="2"/>
  <c r="G449" i="2" s="1"/>
  <c r="F449" i="2"/>
  <c r="D449" i="2"/>
  <c r="H449" i="2" s="1"/>
  <c r="I449" i="2" s="1"/>
  <c r="C445" i="2"/>
  <c r="G445" i="2" s="1"/>
  <c r="F445" i="2"/>
  <c r="D445" i="2"/>
  <c r="E445" i="2" s="1"/>
  <c r="J445" i="2" s="1"/>
  <c r="C441" i="2"/>
  <c r="G441" i="2" s="1"/>
  <c r="F441" i="2"/>
  <c r="D441" i="2"/>
  <c r="H441" i="2" s="1"/>
  <c r="I441" i="2" s="1"/>
  <c r="C437" i="2"/>
  <c r="G437" i="2" s="1"/>
  <c r="F437" i="2"/>
  <c r="D437" i="2"/>
  <c r="H437" i="2" s="1"/>
  <c r="I437" i="2" s="1"/>
  <c r="C433" i="2"/>
  <c r="G433" i="2" s="1"/>
  <c r="F433" i="2"/>
  <c r="D433" i="2"/>
  <c r="H433" i="2" s="1"/>
  <c r="I433" i="2" s="1"/>
  <c r="C429" i="2"/>
  <c r="G429" i="2" s="1"/>
  <c r="F429" i="2"/>
  <c r="D429" i="2"/>
  <c r="H429" i="2" s="1"/>
  <c r="I429" i="2" s="1"/>
  <c r="C425" i="2"/>
  <c r="G425" i="2" s="1"/>
  <c r="F425" i="2"/>
  <c r="D425" i="2"/>
  <c r="H425" i="2" s="1"/>
  <c r="I425" i="2" s="1"/>
  <c r="C421" i="2"/>
  <c r="G421" i="2" s="1"/>
  <c r="F421" i="2"/>
  <c r="D421" i="2"/>
  <c r="E421" i="2" s="1"/>
  <c r="J421" i="2" s="1"/>
  <c r="C417" i="2"/>
  <c r="L417" i="2" s="1"/>
  <c r="F417" i="2"/>
  <c r="D417" i="2"/>
  <c r="H417" i="2" s="1"/>
  <c r="I417" i="2" s="1"/>
  <c r="C413" i="2"/>
  <c r="G413" i="2" s="1"/>
  <c r="F413" i="2"/>
  <c r="D413" i="2"/>
  <c r="E413" i="2" s="1"/>
  <c r="J413" i="2" s="1"/>
  <c r="C409" i="2"/>
  <c r="G409" i="2" s="1"/>
  <c r="F409" i="2"/>
  <c r="D409" i="2"/>
  <c r="E409" i="2" s="1"/>
  <c r="J409" i="2" s="1"/>
  <c r="C405" i="2"/>
  <c r="G405" i="2" s="1"/>
  <c r="F405" i="2"/>
  <c r="D405" i="2"/>
  <c r="H405" i="2" s="1"/>
  <c r="I405" i="2" s="1"/>
  <c r="C401" i="2"/>
  <c r="G401" i="2" s="1"/>
  <c r="F401" i="2"/>
  <c r="D401" i="2"/>
  <c r="H401" i="2" s="1"/>
  <c r="I401" i="2" s="1"/>
  <c r="C397" i="2"/>
  <c r="G397" i="2" s="1"/>
  <c r="F397" i="2"/>
  <c r="D397" i="2"/>
  <c r="H397" i="2" s="1"/>
  <c r="I397" i="2" s="1"/>
  <c r="C393" i="2"/>
  <c r="G393" i="2" s="1"/>
  <c r="F393" i="2"/>
  <c r="D393" i="2"/>
  <c r="H393" i="2" s="1"/>
  <c r="I393" i="2" s="1"/>
  <c r="C389" i="2"/>
  <c r="G389" i="2" s="1"/>
  <c r="F389" i="2"/>
  <c r="C385" i="2"/>
  <c r="G385" i="2" s="1"/>
  <c r="F385" i="2"/>
  <c r="C381" i="2"/>
  <c r="G381" i="2" s="1"/>
  <c r="F381" i="2"/>
  <c r="D381" i="2"/>
  <c r="H381" i="2" s="1"/>
  <c r="I381" i="2" s="1"/>
  <c r="C377" i="2"/>
  <c r="G377" i="2" s="1"/>
  <c r="F377" i="2"/>
  <c r="D377" i="2"/>
  <c r="H377" i="2" s="1"/>
  <c r="I377" i="2" s="1"/>
  <c r="C373" i="2"/>
  <c r="G373" i="2" s="1"/>
  <c r="F373" i="2"/>
  <c r="C369" i="2"/>
  <c r="G369" i="2" s="1"/>
  <c r="F369" i="2"/>
  <c r="C365" i="2"/>
  <c r="G365" i="2" s="1"/>
  <c r="F365" i="2"/>
  <c r="D365" i="2"/>
  <c r="H365" i="2" s="1"/>
  <c r="I365" i="2" s="1"/>
  <c r="C361" i="2"/>
  <c r="G361" i="2" s="1"/>
  <c r="F361" i="2"/>
  <c r="D361" i="2"/>
  <c r="H361" i="2" s="1"/>
  <c r="I361" i="2" s="1"/>
  <c r="C357" i="2"/>
  <c r="G357" i="2" s="1"/>
  <c r="F357" i="2"/>
  <c r="C353" i="2"/>
  <c r="G353" i="2" s="1"/>
  <c r="F353" i="2"/>
  <c r="C349" i="2"/>
  <c r="L349" i="2" s="1"/>
  <c r="F349" i="2"/>
  <c r="D349" i="2"/>
  <c r="C345" i="2"/>
  <c r="G345" i="2" s="1"/>
  <c r="F345" i="2"/>
  <c r="D345" i="2"/>
  <c r="H345" i="2" s="1"/>
  <c r="I345" i="2" s="1"/>
  <c r="C341" i="2"/>
  <c r="G341" i="2" s="1"/>
  <c r="F341" i="2"/>
  <c r="C337" i="2"/>
  <c r="G337" i="2" s="1"/>
  <c r="F337" i="2"/>
  <c r="C333" i="2"/>
  <c r="G333" i="2" s="1"/>
  <c r="F333" i="2"/>
  <c r="D333" i="2"/>
  <c r="E333" i="2" s="1"/>
  <c r="J333" i="2" s="1"/>
  <c r="C329" i="2"/>
  <c r="G329" i="2" s="1"/>
  <c r="F329" i="2"/>
  <c r="D329" i="2"/>
  <c r="E329" i="2" s="1"/>
  <c r="J329" i="2" s="1"/>
  <c r="C325" i="2"/>
  <c r="G325" i="2" s="1"/>
  <c r="F325" i="2"/>
  <c r="C321" i="2"/>
  <c r="G321" i="2" s="1"/>
  <c r="F321" i="2"/>
  <c r="C317" i="2"/>
  <c r="G317" i="2" s="1"/>
  <c r="F317" i="2"/>
  <c r="D317" i="2"/>
  <c r="H317" i="2" s="1"/>
  <c r="I317" i="2" s="1"/>
  <c r="C313" i="2"/>
  <c r="G313" i="2" s="1"/>
  <c r="F313" i="2"/>
  <c r="D313" i="2"/>
  <c r="H313" i="2" s="1"/>
  <c r="I313" i="2" s="1"/>
  <c r="C309" i="2"/>
  <c r="G309" i="2" s="1"/>
  <c r="F309" i="2"/>
  <c r="C305" i="2"/>
  <c r="G305" i="2" s="1"/>
  <c r="F305" i="2"/>
  <c r="C301" i="2"/>
  <c r="G301" i="2" s="1"/>
  <c r="F301" i="2"/>
  <c r="D301" i="2"/>
  <c r="H301" i="2" s="1"/>
  <c r="I301" i="2" s="1"/>
  <c r="C297" i="2"/>
  <c r="G297" i="2" s="1"/>
  <c r="F297" i="2"/>
  <c r="D297" i="2"/>
  <c r="E297" i="2" s="1"/>
  <c r="J297" i="2" s="1"/>
  <c r="C293" i="2"/>
  <c r="G293" i="2" s="1"/>
  <c r="F293" i="2"/>
  <c r="C289" i="2"/>
  <c r="G289" i="2" s="1"/>
  <c r="F289" i="2"/>
  <c r="C285" i="2"/>
  <c r="G285" i="2" s="1"/>
  <c r="F285" i="2"/>
  <c r="D285" i="2"/>
  <c r="E285" i="2" s="1"/>
  <c r="J285" i="2" s="1"/>
  <c r="C281" i="2"/>
  <c r="G281" i="2" s="1"/>
  <c r="F281" i="2"/>
  <c r="D281" i="2"/>
  <c r="E281" i="2" s="1"/>
  <c r="C277" i="2"/>
  <c r="G277" i="2" s="1"/>
  <c r="F277" i="2"/>
  <c r="C273" i="2"/>
  <c r="G273" i="2" s="1"/>
  <c r="F273" i="2"/>
  <c r="C269" i="2"/>
  <c r="G269" i="2" s="1"/>
  <c r="F269" i="2"/>
  <c r="D269" i="2"/>
  <c r="E269" i="2" s="1"/>
  <c r="J269" i="2" s="1"/>
  <c r="C265" i="2"/>
  <c r="G265" i="2" s="1"/>
  <c r="F265" i="2"/>
  <c r="D265" i="2"/>
  <c r="H265" i="2" s="1"/>
  <c r="I265" i="2" s="1"/>
  <c r="C261" i="2"/>
  <c r="F261" i="2"/>
  <c r="C257" i="2"/>
  <c r="F257" i="2"/>
  <c r="C253" i="2"/>
  <c r="G253" i="2" s="1"/>
  <c r="F253" i="2"/>
  <c r="D253" i="2"/>
  <c r="H253" i="2" s="1"/>
  <c r="I253" i="2" s="1"/>
  <c r="C249" i="2"/>
  <c r="G249" i="2" s="1"/>
  <c r="F249" i="2"/>
  <c r="D249" i="2"/>
  <c r="H249" i="2" s="1"/>
  <c r="I249" i="2" s="1"/>
  <c r="C245" i="2"/>
  <c r="G245" i="2" s="1"/>
  <c r="F245" i="2"/>
  <c r="C241" i="2"/>
  <c r="G241" i="2" s="1"/>
  <c r="F241" i="2"/>
  <c r="C237" i="2"/>
  <c r="G237" i="2" s="1"/>
  <c r="F237" i="2"/>
  <c r="D237" i="2"/>
  <c r="E237" i="2" s="1"/>
  <c r="J237" i="2" s="1"/>
  <c r="C233" i="2"/>
  <c r="F233" i="2"/>
  <c r="D233" i="2"/>
  <c r="E233" i="2" s="1"/>
  <c r="J233" i="2" s="1"/>
  <c r="C229" i="2"/>
  <c r="G229" i="2" s="1"/>
  <c r="F229" i="2"/>
  <c r="C225" i="2"/>
  <c r="G225" i="2" s="1"/>
  <c r="F225" i="2"/>
  <c r="C221" i="2"/>
  <c r="G221" i="2" s="1"/>
  <c r="F221" i="2"/>
  <c r="D221" i="2"/>
  <c r="E221" i="2" s="1"/>
  <c r="J221" i="2" s="1"/>
  <c r="C217" i="2"/>
  <c r="L217" i="2" s="1"/>
  <c r="F217" i="2"/>
  <c r="D217" i="2"/>
  <c r="H217" i="2" s="1"/>
  <c r="I217" i="2" s="1"/>
  <c r="C213" i="2"/>
  <c r="G213" i="2" s="1"/>
  <c r="F213" i="2"/>
  <c r="C209" i="2"/>
  <c r="G209" i="2" s="1"/>
  <c r="F209" i="2"/>
  <c r="C205" i="2"/>
  <c r="L205" i="2" s="1"/>
  <c r="F205" i="2"/>
  <c r="D205" i="2"/>
  <c r="H205" i="2" s="1"/>
  <c r="I205" i="2" s="1"/>
  <c r="C201" i="2"/>
  <c r="G201" i="2" s="1"/>
  <c r="F201" i="2"/>
  <c r="D201" i="2"/>
  <c r="E201" i="2" s="1"/>
  <c r="J201" i="2" s="1"/>
  <c r="C197" i="2"/>
  <c r="G197" i="2" s="1"/>
  <c r="F197" i="2"/>
  <c r="C193" i="2"/>
  <c r="F193" i="2"/>
  <c r="C189" i="2"/>
  <c r="G189" i="2" s="1"/>
  <c r="F189" i="2"/>
  <c r="D189" i="2"/>
  <c r="H189" i="2" s="1"/>
  <c r="I189" i="2" s="1"/>
  <c r="C181" i="2"/>
  <c r="G181" i="2" s="1"/>
  <c r="F181" i="2"/>
  <c r="D181" i="2"/>
  <c r="E181" i="2" s="1"/>
  <c r="J181" i="2" s="1"/>
  <c r="C177" i="2"/>
  <c r="G177" i="2" s="1"/>
  <c r="F177" i="2"/>
  <c r="C173" i="2"/>
  <c r="G173" i="2" s="1"/>
  <c r="F173" i="2"/>
  <c r="D173" i="2"/>
  <c r="E173" i="2" s="1"/>
  <c r="J173" i="2" s="1"/>
  <c r="C165" i="2"/>
  <c r="G165" i="2" s="1"/>
  <c r="F165" i="2"/>
  <c r="C161" i="2"/>
  <c r="G161" i="2" s="1"/>
  <c r="F161" i="2"/>
  <c r="D161" i="2"/>
  <c r="C157" i="2"/>
  <c r="G157" i="2" s="1"/>
  <c r="F157" i="2"/>
  <c r="C145" i="2"/>
  <c r="G145" i="2" s="1"/>
  <c r="F145" i="2"/>
  <c r="C141" i="2"/>
  <c r="G141" i="2" s="1"/>
  <c r="F141" i="2"/>
  <c r="D141" i="2"/>
  <c r="E141" i="2" s="1"/>
  <c r="J141" i="2" s="1"/>
  <c r="C129" i="2"/>
  <c r="G129" i="2" s="1"/>
  <c r="F129" i="2"/>
  <c r="D129" i="2"/>
  <c r="E129" i="2" s="1"/>
  <c r="C125" i="2"/>
  <c r="G125" i="2" s="1"/>
  <c r="F125" i="2"/>
  <c r="C113" i="2"/>
  <c r="G113" i="2" s="1"/>
  <c r="F113" i="2"/>
  <c r="C109" i="2"/>
  <c r="G109" i="2" s="1"/>
  <c r="F109" i="2"/>
  <c r="D109" i="2"/>
  <c r="E109" i="2" s="1"/>
  <c r="J109" i="2" s="1"/>
  <c r="C97" i="2"/>
  <c r="G97" i="2" s="1"/>
  <c r="F97" i="2"/>
  <c r="D97" i="2"/>
  <c r="C93" i="2"/>
  <c r="L93" i="2" s="1"/>
  <c r="F93" i="2"/>
  <c r="C81" i="2"/>
  <c r="G81" i="2" s="1"/>
  <c r="F81" i="2"/>
  <c r="C77" i="2"/>
  <c r="G77" i="2" s="1"/>
  <c r="F77" i="2"/>
  <c r="D77" i="2"/>
  <c r="E77" i="2" s="1"/>
  <c r="J77" i="2" s="1"/>
  <c r="C65" i="2"/>
  <c r="F65" i="2"/>
  <c r="D65" i="2"/>
  <c r="H65" i="2" s="1"/>
  <c r="I65" i="2" s="1"/>
  <c r="C61" i="2"/>
  <c r="G61" i="2" s="1"/>
  <c r="F61" i="2"/>
  <c r="K51" i="2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F49" i="2"/>
  <c r="K35" i="2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F33" i="2"/>
  <c r="K19" i="2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F17" i="2"/>
  <c r="D617" i="2"/>
  <c r="H617" i="2" s="1"/>
  <c r="I617" i="2" s="1"/>
  <c r="D602" i="2"/>
  <c r="H602" i="2" s="1"/>
  <c r="I602" i="2" s="1"/>
  <c r="C634" i="2"/>
  <c r="L634" i="2" s="1"/>
  <c r="F634" i="2"/>
  <c r="C626" i="2"/>
  <c r="L626" i="2" s="1"/>
  <c r="F626" i="2"/>
  <c r="C610" i="2"/>
  <c r="L610" i="2" s="1"/>
  <c r="F610" i="2"/>
  <c r="C582" i="2"/>
  <c r="L582" i="2" s="1"/>
  <c r="D582" i="2"/>
  <c r="H582" i="2" s="1"/>
  <c r="I582" i="2" s="1"/>
  <c r="F582" i="2"/>
  <c r="C570" i="2"/>
  <c r="L570" i="2" s="1"/>
  <c r="D570" i="2"/>
  <c r="H570" i="2" s="1"/>
  <c r="I570" i="2" s="1"/>
  <c r="F570" i="2"/>
  <c r="C538" i="2"/>
  <c r="G538" i="2" s="1"/>
  <c r="D538" i="2"/>
  <c r="F538" i="2"/>
  <c r="C522" i="2"/>
  <c r="G522" i="2" s="1"/>
  <c r="D522" i="2"/>
  <c r="E522" i="2" s="1"/>
  <c r="J522" i="2" s="1"/>
  <c r="F522" i="2"/>
  <c r="C510" i="2"/>
  <c r="D510" i="2"/>
  <c r="F510" i="2"/>
  <c r="C494" i="2"/>
  <c r="G494" i="2" s="1"/>
  <c r="D494" i="2"/>
  <c r="F494" i="2"/>
  <c r="C478" i="2"/>
  <c r="G478" i="2" s="1"/>
  <c r="F478" i="2"/>
  <c r="D478" i="2"/>
  <c r="E478" i="2" s="1"/>
  <c r="F462" i="2"/>
  <c r="C462" i="2"/>
  <c r="D462" i="2"/>
  <c r="C446" i="2"/>
  <c r="L446" i="2" s="1"/>
  <c r="F446" i="2"/>
  <c r="D446" i="2"/>
  <c r="H446" i="2" s="1"/>
  <c r="I446" i="2" s="1"/>
  <c r="C430" i="2"/>
  <c r="L430" i="2" s="1"/>
  <c r="F430" i="2"/>
  <c r="D430" i="2"/>
  <c r="H430" i="2" s="1"/>
  <c r="I430" i="2" s="1"/>
  <c r="C414" i="2"/>
  <c r="G414" i="2" s="1"/>
  <c r="F414" i="2"/>
  <c r="D414" i="2"/>
  <c r="H414" i="2" s="1"/>
  <c r="I414" i="2" s="1"/>
  <c r="F398" i="2"/>
  <c r="D398" i="2"/>
  <c r="C398" i="2"/>
  <c r="G398" i="2" s="1"/>
  <c r="F362" i="2"/>
  <c r="D342" i="2"/>
  <c r="E342" i="2" s="1"/>
  <c r="J342" i="2" s="1"/>
  <c r="F342" i="2"/>
  <c r="D632" i="2"/>
  <c r="E632" i="2" s="1"/>
  <c r="F632" i="2"/>
  <c r="C624" i="2"/>
  <c r="L624" i="2" s="1"/>
  <c r="F624" i="2"/>
  <c r="D616" i="2"/>
  <c r="E616" i="2" s="1"/>
  <c r="F616" i="2"/>
  <c r="C608" i="2"/>
  <c r="L608" i="2" s="1"/>
  <c r="F608" i="2"/>
  <c r="C600" i="2"/>
  <c r="G600" i="2" s="1"/>
  <c r="F600" i="2"/>
  <c r="C596" i="2"/>
  <c r="F596" i="2"/>
  <c r="C592" i="2"/>
  <c r="G592" i="2" s="1"/>
  <c r="F592" i="2"/>
  <c r="D588" i="2"/>
  <c r="F588" i="2"/>
  <c r="C584" i="2"/>
  <c r="G584" i="2" s="1"/>
  <c r="F584" i="2"/>
  <c r="C580" i="2"/>
  <c r="F580" i="2"/>
  <c r="D576" i="2"/>
  <c r="E576" i="2" s="1"/>
  <c r="F576" i="2"/>
  <c r="C572" i="2"/>
  <c r="L572" i="2" s="1"/>
  <c r="F572" i="2"/>
  <c r="C568" i="2"/>
  <c r="G568" i="2" s="1"/>
  <c r="F568" i="2"/>
  <c r="C564" i="2"/>
  <c r="L564" i="2" s="1"/>
  <c r="F564" i="2"/>
  <c r="D560" i="2"/>
  <c r="F560" i="2"/>
  <c r="C556" i="2"/>
  <c r="G556" i="2" s="1"/>
  <c r="F556" i="2"/>
  <c r="C552" i="2"/>
  <c r="L552" i="2" s="1"/>
  <c r="F552" i="2"/>
  <c r="C548" i="2"/>
  <c r="F548" i="2"/>
  <c r="C544" i="2"/>
  <c r="L544" i="2" s="1"/>
  <c r="F544" i="2"/>
  <c r="C540" i="2"/>
  <c r="G540" i="2" s="1"/>
  <c r="F540" i="2"/>
  <c r="C536" i="2"/>
  <c r="G536" i="2" s="1"/>
  <c r="F536" i="2"/>
  <c r="C532" i="2"/>
  <c r="L532" i="2" s="1"/>
  <c r="F532" i="2"/>
  <c r="C528" i="2"/>
  <c r="G528" i="2" s="1"/>
  <c r="F528" i="2"/>
  <c r="C524" i="2"/>
  <c r="G524" i="2" s="1"/>
  <c r="F524" i="2"/>
  <c r="C520" i="2"/>
  <c r="G520" i="2" s="1"/>
  <c r="F520" i="2"/>
  <c r="C516" i="2"/>
  <c r="L516" i="2" s="1"/>
  <c r="F516" i="2"/>
  <c r="C512" i="2"/>
  <c r="G512" i="2" s="1"/>
  <c r="F512" i="2"/>
  <c r="C508" i="2"/>
  <c r="G508" i="2" s="1"/>
  <c r="F508" i="2"/>
  <c r="D504" i="2"/>
  <c r="F504" i="2"/>
  <c r="C500" i="2"/>
  <c r="F500" i="2"/>
  <c r="C496" i="2"/>
  <c r="G496" i="2" s="1"/>
  <c r="F496" i="2"/>
  <c r="C492" i="2"/>
  <c r="G492" i="2" s="1"/>
  <c r="F492" i="2"/>
  <c r="D488" i="2"/>
  <c r="H488" i="2" s="1"/>
  <c r="I488" i="2" s="1"/>
  <c r="F488" i="2"/>
  <c r="C484" i="2"/>
  <c r="G484" i="2" s="1"/>
  <c r="F484" i="2"/>
  <c r="C480" i="2"/>
  <c r="G480" i="2" s="1"/>
  <c r="F480" i="2"/>
  <c r="C476" i="2"/>
  <c r="F476" i="2"/>
  <c r="C472" i="2"/>
  <c r="L472" i="2" s="1"/>
  <c r="F472" i="2"/>
  <c r="C468" i="2"/>
  <c r="G468" i="2" s="1"/>
  <c r="F468" i="2"/>
  <c r="C464" i="2"/>
  <c r="G464" i="2" s="1"/>
  <c r="F464" i="2"/>
  <c r="C460" i="2"/>
  <c r="L460" i="2" s="1"/>
  <c r="F460" i="2"/>
  <c r="C456" i="2"/>
  <c r="G456" i="2" s="1"/>
  <c r="F456" i="2"/>
  <c r="C452" i="2"/>
  <c r="G452" i="2" s="1"/>
  <c r="F452" i="2"/>
  <c r="C448" i="2"/>
  <c r="F448" i="2"/>
  <c r="C444" i="2"/>
  <c r="L444" i="2" s="1"/>
  <c r="F444" i="2"/>
  <c r="C440" i="2"/>
  <c r="G440" i="2" s="1"/>
  <c r="F440" i="2"/>
  <c r="C436" i="2"/>
  <c r="G436" i="2" s="1"/>
  <c r="F436" i="2"/>
  <c r="C432" i="2"/>
  <c r="G432" i="2" s="1"/>
  <c r="F432" i="2"/>
  <c r="C428" i="2"/>
  <c r="G428" i="2" s="1"/>
  <c r="F428" i="2"/>
  <c r="C424" i="2"/>
  <c r="G424" i="2" s="1"/>
  <c r="F424" i="2"/>
  <c r="C420" i="2"/>
  <c r="F420" i="2"/>
  <c r="C416" i="2"/>
  <c r="L416" i="2" s="1"/>
  <c r="F416" i="2"/>
  <c r="C412" i="2"/>
  <c r="G412" i="2" s="1"/>
  <c r="F412" i="2"/>
  <c r="C408" i="2"/>
  <c r="G408" i="2" s="1"/>
  <c r="F408" i="2"/>
  <c r="C404" i="2"/>
  <c r="L404" i="2" s="1"/>
  <c r="F404" i="2"/>
  <c r="C400" i="2"/>
  <c r="G400" i="2" s="1"/>
  <c r="F400" i="2"/>
  <c r="C396" i="2"/>
  <c r="G396" i="2" s="1"/>
  <c r="F396" i="2"/>
  <c r="C392" i="2"/>
  <c r="F392" i="2"/>
  <c r="C388" i="2"/>
  <c r="L388" i="2" s="1"/>
  <c r="F388" i="2"/>
  <c r="C384" i="2"/>
  <c r="G384" i="2" s="1"/>
  <c r="F384" i="2"/>
  <c r="C380" i="2"/>
  <c r="G380" i="2" s="1"/>
  <c r="F380" i="2"/>
  <c r="C376" i="2"/>
  <c r="L376" i="2" s="1"/>
  <c r="F376" i="2"/>
  <c r="C372" i="2"/>
  <c r="G372" i="2" s="1"/>
  <c r="F372" i="2"/>
  <c r="C368" i="2"/>
  <c r="G368" i="2" s="1"/>
  <c r="F368" i="2"/>
  <c r="C364" i="2"/>
  <c r="G364" i="2" s="1"/>
  <c r="F364" i="2"/>
  <c r="C360" i="2"/>
  <c r="G360" i="2" s="1"/>
  <c r="F360" i="2"/>
  <c r="C356" i="2"/>
  <c r="G356" i="2" s="1"/>
  <c r="F356" i="2"/>
  <c r="C352" i="2"/>
  <c r="G352" i="2" s="1"/>
  <c r="F352" i="2"/>
  <c r="C348" i="2"/>
  <c r="L348" i="2" s="1"/>
  <c r="F348" i="2"/>
  <c r="C344" i="2"/>
  <c r="G344" i="2" s="1"/>
  <c r="F344" i="2"/>
  <c r="C340" i="2"/>
  <c r="G340" i="2" s="1"/>
  <c r="F340" i="2"/>
  <c r="C336" i="2"/>
  <c r="F336" i="2"/>
  <c r="C332" i="2"/>
  <c r="G332" i="2" s="1"/>
  <c r="F332" i="2"/>
  <c r="C328" i="2"/>
  <c r="G328" i="2" s="1"/>
  <c r="F328" i="2"/>
  <c r="C324" i="2"/>
  <c r="G324" i="2" s="1"/>
  <c r="F324" i="2"/>
  <c r="C320" i="2"/>
  <c r="L320" i="2" s="1"/>
  <c r="F320" i="2"/>
  <c r="C316" i="2"/>
  <c r="G316" i="2" s="1"/>
  <c r="F316" i="2"/>
  <c r="C312" i="2"/>
  <c r="G312" i="2" s="1"/>
  <c r="F312" i="2"/>
  <c r="C308" i="2"/>
  <c r="G308" i="2" s="1"/>
  <c r="F308" i="2"/>
  <c r="D304" i="2"/>
  <c r="H304" i="2" s="1"/>
  <c r="I304" i="2" s="1"/>
  <c r="F304" i="2"/>
  <c r="C300" i="2"/>
  <c r="G300" i="2" s="1"/>
  <c r="F300" i="2"/>
  <c r="C296" i="2"/>
  <c r="G296" i="2" s="1"/>
  <c r="F296" i="2"/>
  <c r="C292" i="2"/>
  <c r="F292" i="2"/>
  <c r="D288" i="2"/>
  <c r="E288" i="2" s="1"/>
  <c r="J288" i="2" s="1"/>
  <c r="F288" i="2"/>
  <c r="C284" i="2"/>
  <c r="F284" i="2"/>
  <c r="C280" i="2"/>
  <c r="G280" i="2" s="1"/>
  <c r="F280" i="2"/>
  <c r="C276" i="2"/>
  <c r="L276" i="2" s="1"/>
  <c r="F276" i="2"/>
  <c r="D272" i="2"/>
  <c r="E272" i="2" s="1"/>
  <c r="J272" i="2" s="1"/>
  <c r="F272" i="2"/>
  <c r="C268" i="2"/>
  <c r="G268" i="2" s="1"/>
  <c r="F268" i="2"/>
  <c r="C264" i="2"/>
  <c r="F264" i="2"/>
  <c r="C260" i="2"/>
  <c r="F260" i="2"/>
  <c r="C256" i="2"/>
  <c r="G256" i="2" s="1"/>
  <c r="F256" i="2"/>
  <c r="C252" i="2"/>
  <c r="G252" i="2" s="1"/>
  <c r="F252" i="2"/>
  <c r="C248" i="2"/>
  <c r="G248" i="2" s="1"/>
  <c r="F248" i="2"/>
  <c r="C244" i="2"/>
  <c r="G244" i="2" s="1"/>
  <c r="F244" i="2"/>
  <c r="C240" i="2"/>
  <c r="G240" i="2" s="1"/>
  <c r="F240" i="2"/>
  <c r="C236" i="2"/>
  <c r="G236" i="2" s="1"/>
  <c r="F236" i="2"/>
  <c r="C232" i="2"/>
  <c r="L232" i="2" s="1"/>
  <c r="F232" i="2"/>
  <c r="C228" i="2"/>
  <c r="G228" i="2" s="1"/>
  <c r="F228" i="2"/>
  <c r="C224" i="2"/>
  <c r="G224" i="2" s="1"/>
  <c r="F224" i="2"/>
  <c r="C220" i="2"/>
  <c r="G220" i="2" s="1"/>
  <c r="F220" i="2"/>
  <c r="C216" i="2"/>
  <c r="G216" i="2" s="1"/>
  <c r="F216" i="2"/>
  <c r="C212" i="2"/>
  <c r="G212" i="2" s="1"/>
  <c r="F212" i="2"/>
  <c r="C208" i="2"/>
  <c r="G208" i="2" s="1"/>
  <c r="F208" i="2"/>
  <c r="C204" i="2"/>
  <c r="L204" i="2" s="1"/>
  <c r="F204" i="2"/>
  <c r="C200" i="2"/>
  <c r="G200" i="2" s="1"/>
  <c r="F200" i="2"/>
  <c r="C196" i="2"/>
  <c r="G196" i="2" s="1"/>
  <c r="F196" i="2"/>
  <c r="C192" i="2"/>
  <c r="F192" i="2"/>
  <c r="C188" i="2"/>
  <c r="G188" i="2" s="1"/>
  <c r="F188" i="2"/>
  <c r="C184" i="2"/>
  <c r="G184" i="2" s="1"/>
  <c r="F184" i="2"/>
  <c r="C176" i="2"/>
  <c r="F176" i="2"/>
  <c r="C172" i="2"/>
  <c r="G172" i="2" s="1"/>
  <c r="F172" i="2"/>
  <c r="C168" i="2"/>
  <c r="G168" i="2" s="1"/>
  <c r="F168" i="2"/>
  <c r="C160" i="2"/>
  <c r="L160" i="2" s="1"/>
  <c r="F160" i="2"/>
  <c r="C156" i="2"/>
  <c r="G156" i="2" s="1"/>
  <c r="F156" i="2"/>
  <c r="C152" i="2"/>
  <c r="G152" i="2" s="1"/>
  <c r="F152" i="2"/>
  <c r="F148" i="2"/>
  <c r="C140" i="2"/>
  <c r="G140" i="2" s="1"/>
  <c r="F140" i="2"/>
  <c r="C136" i="2"/>
  <c r="G136" i="2" s="1"/>
  <c r="F136" i="2"/>
  <c r="C124" i="2"/>
  <c r="G124" i="2" s="1"/>
  <c r="F124" i="2"/>
  <c r="C120" i="2"/>
  <c r="L120" i="2" s="1"/>
  <c r="F120" i="2"/>
  <c r="C108" i="2"/>
  <c r="G108" i="2" s="1"/>
  <c r="F108" i="2"/>
  <c r="C104" i="2"/>
  <c r="G104" i="2" s="1"/>
  <c r="F104" i="2"/>
  <c r="C92" i="2"/>
  <c r="L92" i="2" s="1"/>
  <c r="F92" i="2"/>
  <c r="C88" i="2"/>
  <c r="G88" i="2" s="1"/>
  <c r="F88" i="2"/>
  <c r="C76" i="2"/>
  <c r="G76" i="2" s="1"/>
  <c r="F76" i="2"/>
  <c r="C72" i="2"/>
  <c r="G72" i="2" s="1"/>
  <c r="F72" i="2"/>
  <c r="K66" i="2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151" i="2" s="1"/>
  <c r="K152" i="2" s="1"/>
  <c r="K153" i="2" s="1"/>
  <c r="K154" i="2" s="1"/>
  <c r="K155" i="2" s="1"/>
  <c r="K156" i="2" s="1"/>
  <c r="K157" i="2" s="1"/>
  <c r="K158" i="2" s="1"/>
  <c r="K159" i="2" s="1"/>
  <c r="K160" i="2" s="1"/>
  <c r="K161" i="2" s="1"/>
  <c r="K162" i="2" s="1"/>
  <c r="K163" i="2" s="1"/>
  <c r="K164" i="2" s="1"/>
  <c r="K165" i="2" s="1"/>
  <c r="K166" i="2" s="1"/>
  <c r="K167" i="2" s="1"/>
  <c r="K168" i="2" s="1"/>
  <c r="K169" i="2" s="1"/>
  <c r="K170" i="2" s="1"/>
  <c r="K171" i="2" s="1"/>
  <c r="K172" i="2" s="1"/>
  <c r="K173" i="2" s="1"/>
  <c r="K174" i="2" s="1"/>
  <c r="K175" i="2" s="1"/>
  <c r="K176" i="2" s="1"/>
  <c r="K177" i="2" s="1"/>
  <c r="K178" i="2" s="1"/>
  <c r="K179" i="2" s="1"/>
  <c r="K180" i="2" s="1"/>
  <c r="K181" i="2" s="1"/>
  <c r="K182" i="2" s="1"/>
  <c r="K183" i="2" s="1"/>
  <c r="K184" i="2" s="1"/>
  <c r="K185" i="2" s="1"/>
  <c r="K186" i="2" s="1"/>
  <c r="K187" i="2" s="1"/>
  <c r="K188" i="2" s="1"/>
  <c r="K189" i="2" s="1"/>
  <c r="K190" i="2" s="1"/>
  <c r="K191" i="2" s="1"/>
  <c r="K192" i="2" s="1"/>
  <c r="K193" i="2" s="1"/>
  <c r="K194" i="2" s="1"/>
  <c r="K195" i="2" s="1"/>
  <c r="K196" i="2" s="1"/>
  <c r="K197" i="2" s="1"/>
  <c r="K198" i="2" s="1"/>
  <c r="K199" i="2" s="1"/>
  <c r="K200" i="2" s="1"/>
  <c r="K201" i="2" s="1"/>
  <c r="K202" i="2" s="1"/>
  <c r="K203" i="2" s="1"/>
  <c r="K204" i="2" s="1"/>
  <c r="K205" i="2" s="1"/>
  <c r="K206" i="2" s="1"/>
  <c r="K207" i="2" s="1"/>
  <c r="K208" i="2" s="1"/>
  <c r="K209" i="2" s="1"/>
  <c r="K210" i="2" s="1"/>
  <c r="K211" i="2" s="1"/>
  <c r="K212" i="2" s="1"/>
  <c r="K213" i="2" s="1"/>
  <c r="K214" i="2" s="1"/>
  <c r="K215" i="2" s="1"/>
  <c r="K216" i="2" s="1"/>
  <c r="K217" i="2" s="1"/>
  <c r="K218" i="2" s="1"/>
  <c r="K219" i="2" s="1"/>
  <c r="K220" i="2" s="1"/>
  <c r="K221" i="2" s="1"/>
  <c r="K222" i="2" s="1"/>
  <c r="K223" i="2" s="1"/>
  <c r="K224" i="2" s="1"/>
  <c r="K225" i="2" s="1"/>
  <c r="K226" i="2" s="1"/>
  <c r="K227" i="2" s="1"/>
  <c r="K228" i="2" s="1"/>
  <c r="K229" i="2" s="1"/>
  <c r="K230" i="2" s="1"/>
  <c r="K231" i="2" s="1"/>
  <c r="K232" i="2" s="1"/>
  <c r="K233" i="2" s="1"/>
  <c r="K234" i="2" s="1"/>
  <c r="K235" i="2" s="1"/>
  <c r="K236" i="2" s="1"/>
  <c r="K237" i="2" s="1"/>
  <c r="K238" i="2" s="1"/>
  <c r="K239" i="2" s="1"/>
  <c r="K240" i="2" s="1"/>
  <c r="K241" i="2" s="1"/>
  <c r="K242" i="2" s="1"/>
  <c r="K243" i="2" s="1"/>
  <c r="K244" i="2" s="1"/>
  <c r="K245" i="2" s="1"/>
  <c r="K246" i="2" s="1"/>
  <c r="K247" i="2" s="1"/>
  <c r="K248" i="2" s="1"/>
  <c r="K249" i="2" s="1"/>
  <c r="K250" i="2" s="1"/>
  <c r="K251" i="2" s="1"/>
  <c r="K252" i="2" s="1"/>
  <c r="K253" i="2" s="1"/>
  <c r="K254" i="2" s="1"/>
  <c r="K255" i="2" s="1"/>
  <c r="K256" i="2" s="1"/>
  <c r="K257" i="2" s="1"/>
  <c r="K258" i="2" s="1"/>
  <c r="K259" i="2" s="1"/>
  <c r="K260" i="2" s="1"/>
  <c r="K261" i="2" s="1"/>
  <c r="K262" i="2" s="1"/>
  <c r="K263" i="2" s="1"/>
  <c r="K264" i="2" s="1"/>
  <c r="K265" i="2" s="1"/>
  <c r="K266" i="2" s="1"/>
  <c r="K267" i="2" s="1"/>
  <c r="K268" i="2" s="1"/>
  <c r="K269" i="2" s="1"/>
  <c r="K270" i="2" s="1"/>
  <c r="K271" i="2" s="1"/>
  <c r="K272" i="2" s="1"/>
  <c r="K273" i="2" s="1"/>
  <c r="K274" i="2" s="1"/>
  <c r="K275" i="2" s="1"/>
  <c r="K276" i="2" s="1"/>
  <c r="K277" i="2" s="1"/>
  <c r="K278" i="2" s="1"/>
  <c r="K279" i="2" s="1"/>
  <c r="K280" i="2" s="1"/>
  <c r="K281" i="2" s="1"/>
  <c r="K282" i="2" s="1"/>
  <c r="K283" i="2" s="1"/>
  <c r="K284" i="2" s="1"/>
  <c r="K285" i="2" s="1"/>
  <c r="K286" i="2" s="1"/>
  <c r="K287" i="2" s="1"/>
  <c r="K288" i="2" s="1"/>
  <c r="K289" i="2" s="1"/>
  <c r="K290" i="2" s="1"/>
  <c r="K291" i="2" s="1"/>
  <c r="K292" i="2" s="1"/>
  <c r="K293" i="2" s="1"/>
  <c r="K294" i="2" s="1"/>
  <c r="K295" i="2" s="1"/>
  <c r="K296" i="2" s="1"/>
  <c r="K297" i="2" s="1"/>
  <c r="K298" i="2" s="1"/>
  <c r="K299" i="2" s="1"/>
  <c r="K300" i="2" s="1"/>
  <c r="K301" i="2" s="1"/>
  <c r="K302" i="2" s="1"/>
  <c r="K303" i="2" s="1"/>
  <c r="K304" i="2" s="1"/>
  <c r="K305" i="2" s="1"/>
  <c r="K306" i="2" s="1"/>
  <c r="K307" i="2" s="1"/>
  <c r="K308" i="2" s="1"/>
  <c r="K309" i="2" s="1"/>
  <c r="K310" i="2" s="1"/>
  <c r="K311" i="2" s="1"/>
  <c r="K312" i="2" s="1"/>
  <c r="K313" i="2" s="1"/>
  <c r="K314" i="2" s="1"/>
  <c r="K315" i="2" s="1"/>
  <c r="K316" i="2" s="1"/>
  <c r="K317" i="2" s="1"/>
  <c r="K318" i="2" s="1"/>
  <c r="K319" i="2" s="1"/>
  <c r="K320" i="2" s="1"/>
  <c r="K321" i="2" s="1"/>
  <c r="K322" i="2" s="1"/>
  <c r="K323" i="2" s="1"/>
  <c r="K324" i="2" s="1"/>
  <c r="K325" i="2" s="1"/>
  <c r="K326" i="2" s="1"/>
  <c r="K327" i="2" s="1"/>
  <c r="K328" i="2" s="1"/>
  <c r="K329" i="2" s="1"/>
  <c r="K330" i="2" s="1"/>
  <c r="K331" i="2" s="1"/>
  <c r="K332" i="2" s="1"/>
  <c r="K333" i="2" s="1"/>
  <c r="K334" i="2" s="1"/>
  <c r="K335" i="2" s="1"/>
  <c r="K336" i="2" s="1"/>
  <c r="K337" i="2" s="1"/>
  <c r="K338" i="2" s="1"/>
  <c r="K339" i="2" s="1"/>
  <c r="K340" i="2" s="1"/>
  <c r="K341" i="2" s="1"/>
  <c r="K342" i="2" s="1"/>
  <c r="K343" i="2" s="1"/>
  <c r="K344" i="2" s="1"/>
  <c r="K345" i="2" s="1"/>
  <c r="K346" i="2" s="1"/>
  <c r="K347" i="2" s="1"/>
  <c r="K348" i="2" s="1"/>
  <c r="K349" i="2" s="1"/>
  <c r="K350" i="2" s="1"/>
  <c r="K351" i="2" s="1"/>
  <c r="K352" i="2" s="1"/>
  <c r="K353" i="2" s="1"/>
  <c r="K354" i="2" s="1"/>
  <c r="K355" i="2" s="1"/>
  <c r="K356" i="2" s="1"/>
  <c r="K357" i="2" s="1"/>
  <c r="K358" i="2" s="1"/>
  <c r="K359" i="2" s="1"/>
  <c r="K360" i="2" s="1"/>
  <c r="K361" i="2" s="1"/>
  <c r="K362" i="2" s="1"/>
  <c r="K363" i="2" s="1"/>
  <c r="K364" i="2" s="1"/>
  <c r="K365" i="2" s="1"/>
  <c r="K366" i="2" s="1"/>
  <c r="K367" i="2" s="1"/>
  <c r="K368" i="2" s="1"/>
  <c r="K369" i="2" s="1"/>
  <c r="K370" i="2" s="1"/>
  <c r="K371" i="2" s="1"/>
  <c r="K372" i="2" s="1"/>
  <c r="K373" i="2" s="1"/>
  <c r="K374" i="2" s="1"/>
  <c r="K375" i="2" s="1"/>
  <c r="K376" i="2" s="1"/>
  <c r="K377" i="2" s="1"/>
  <c r="K378" i="2" s="1"/>
  <c r="K379" i="2" s="1"/>
  <c r="K380" i="2" s="1"/>
  <c r="K381" i="2" s="1"/>
  <c r="K382" i="2" s="1"/>
  <c r="K383" i="2" s="1"/>
  <c r="K384" i="2" s="1"/>
  <c r="K385" i="2" s="1"/>
  <c r="K386" i="2" s="1"/>
  <c r="K387" i="2" s="1"/>
  <c r="K388" i="2" s="1"/>
  <c r="K389" i="2" s="1"/>
  <c r="K390" i="2" s="1"/>
  <c r="K391" i="2" s="1"/>
  <c r="K392" i="2" s="1"/>
  <c r="K393" i="2" s="1"/>
  <c r="K394" i="2" s="1"/>
  <c r="K395" i="2" s="1"/>
  <c r="K396" i="2" s="1"/>
  <c r="K397" i="2" s="1"/>
  <c r="K398" i="2" s="1"/>
  <c r="K399" i="2" s="1"/>
  <c r="K400" i="2" s="1"/>
  <c r="K401" i="2" s="1"/>
  <c r="K402" i="2" s="1"/>
  <c r="K403" i="2" s="1"/>
  <c r="K404" i="2" s="1"/>
  <c r="K405" i="2" s="1"/>
  <c r="K406" i="2" s="1"/>
  <c r="K407" i="2" s="1"/>
  <c r="K408" i="2" s="1"/>
  <c r="K409" i="2" s="1"/>
  <c r="K410" i="2" s="1"/>
  <c r="K411" i="2" s="1"/>
  <c r="K412" i="2" s="1"/>
  <c r="K413" i="2" s="1"/>
  <c r="K414" i="2" s="1"/>
  <c r="K415" i="2" s="1"/>
  <c r="K416" i="2" s="1"/>
  <c r="K417" i="2" s="1"/>
  <c r="K418" i="2" s="1"/>
  <c r="K419" i="2" s="1"/>
  <c r="K420" i="2" s="1"/>
  <c r="K421" i="2" s="1"/>
  <c r="K422" i="2" s="1"/>
  <c r="K423" i="2" s="1"/>
  <c r="K424" i="2" s="1"/>
  <c r="K425" i="2" s="1"/>
  <c r="K426" i="2" s="1"/>
  <c r="K427" i="2" s="1"/>
  <c r="K428" i="2" s="1"/>
  <c r="K429" i="2" s="1"/>
  <c r="K430" i="2" s="1"/>
  <c r="K431" i="2" s="1"/>
  <c r="K432" i="2" s="1"/>
  <c r="K433" i="2" s="1"/>
  <c r="K434" i="2" s="1"/>
  <c r="K435" i="2" s="1"/>
  <c r="K436" i="2" s="1"/>
  <c r="K437" i="2" s="1"/>
  <c r="K438" i="2" s="1"/>
  <c r="K439" i="2" s="1"/>
  <c r="K440" i="2" s="1"/>
  <c r="K441" i="2" s="1"/>
  <c r="K442" i="2" s="1"/>
  <c r="K443" i="2" s="1"/>
  <c r="K444" i="2" s="1"/>
  <c r="K445" i="2" s="1"/>
  <c r="K446" i="2" s="1"/>
  <c r="K447" i="2" s="1"/>
  <c r="K448" i="2" s="1"/>
  <c r="K449" i="2" s="1"/>
  <c r="K450" i="2" s="1"/>
  <c r="K451" i="2" s="1"/>
  <c r="K452" i="2" s="1"/>
  <c r="K453" i="2" s="1"/>
  <c r="K454" i="2" s="1"/>
  <c r="K455" i="2" s="1"/>
  <c r="K456" i="2" s="1"/>
  <c r="K457" i="2" s="1"/>
  <c r="K458" i="2" s="1"/>
  <c r="K459" i="2" s="1"/>
  <c r="K460" i="2" s="1"/>
  <c r="K461" i="2" s="1"/>
  <c r="K462" i="2" s="1"/>
  <c r="K463" i="2" s="1"/>
  <c r="K464" i="2" s="1"/>
  <c r="K465" i="2" s="1"/>
  <c r="K466" i="2" s="1"/>
  <c r="K467" i="2" s="1"/>
  <c r="K468" i="2" s="1"/>
  <c r="K469" i="2" s="1"/>
  <c r="K470" i="2" s="1"/>
  <c r="K471" i="2" s="1"/>
  <c r="K472" i="2" s="1"/>
  <c r="K473" i="2" s="1"/>
  <c r="K474" i="2" s="1"/>
  <c r="K475" i="2" s="1"/>
  <c r="K476" i="2" s="1"/>
  <c r="K477" i="2" s="1"/>
  <c r="K478" i="2" s="1"/>
  <c r="K479" i="2" s="1"/>
  <c r="K480" i="2" s="1"/>
  <c r="K481" i="2" s="1"/>
  <c r="K482" i="2" s="1"/>
  <c r="K483" i="2" s="1"/>
  <c r="K484" i="2" s="1"/>
  <c r="K485" i="2" s="1"/>
  <c r="K486" i="2" s="1"/>
  <c r="K487" i="2" s="1"/>
  <c r="K488" i="2" s="1"/>
  <c r="K489" i="2" s="1"/>
  <c r="K490" i="2" s="1"/>
  <c r="K491" i="2" s="1"/>
  <c r="K492" i="2" s="1"/>
  <c r="K493" i="2" s="1"/>
  <c r="K494" i="2" s="1"/>
  <c r="K495" i="2" s="1"/>
  <c r="K496" i="2" s="1"/>
  <c r="K497" i="2" s="1"/>
  <c r="K498" i="2" s="1"/>
  <c r="K499" i="2" s="1"/>
  <c r="K500" i="2" s="1"/>
  <c r="K501" i="2" s="1"/>
  <c r="K502" i="2" s="1"/>
  <c r="K503" i="2" s="1"/>
  <c r="K504" i="2" s="1"/>
  <c r="K505" i="2" s="1"/>
  <c r="K506" i="2" s="1"/>
  <c r="K507" i="2" s="1"/>
  <c r="K508" i="2" s="1"/>
  <c r="K509" i="2" s="1"/>
  <c r="K510" i="2" s="1"/>
  <c r="K511" i="2" s="1"/>
  <c r="K512" i="2" s="1"/>
  <c r="K513" i="2" s="1"/>
  <c r="K514" i="2" s="1"/>
  <c r="K515" i="2" s="1"/>
  <c r="K516" i="2" s="1"/>
  <c r="K517" i="2" s="1"/>
  <c r="K518" i="2" s="1"/>
  <c r="K519" i="2" s="1"/>
  <c r="K520" i="2" s="1"/>
  <c r="K521" i="2" s="1"/>
  <c r="K522" i="2" s="1"/>
  <c r="K523" i="2" s="1"/>
  <c r="K524" i="2" s="1"/>
  <c r="K525" i="2" s="1"/>
  <c r="K526" i="2" s="1"/>
  <c r="K527" i="2" s="1"/>
  <c r="K528" i="2" s="1"/>
  <c r="K529" i="2" s="1"/>
  <c r="K530" i="2" s="1"/>
  <c r="K531" i="2" s="1"/>
  <c r="K532" i="2" s="1"/>
  <c r="K533" i="2" s="1"/>
  <c r="K534" i="2" s="1"/>
  <c r="K535" i="2" s="1"/>
  <c r="K536" i="2" s="1"/>
  <c r="K537" i="2" s="1"/>
  <c r="K538" i="2" s="1"/>
  <c r="K539" i="2" s="1"/>
  <c r="K540" i="2" s="1"/>
  <c r="K541" i="2" s="1"/>
  <c r="K542" i="2" s="1"/>
  <c r="K543" i="2" s="1"/>
  <c r="K544" i="2" s="1"/>
  <c r="K545" i="2" s="1"/>
  <c r="K546" i="2" s="1"/>
  <c r="K547" i="2" s="1"/>
  <c r="K548" i="2" s="1"/>
  <c r="K549" i="2" s="1"/>
  <c r="K550" i="2" s="1"/>
  <c r="K551" i="2" s="1"/>
  <c r="K552" i="2" s="1"/>
  <c r="K553" i="2" s="1"/>
  <c r="K554" i="2" s="1"/>
  <c r="K555" i="2" s="1"/>
  <c r="K556" i="2" s="1"/>
  <c r="K557" i="2" s="1"/>
  <c r="K558" i="2" s="1"/>
  <c r="K559" i="2" s="1"/>
  <c r="K560" i="2" s="1"/>
  <c r="K561" i="2" s="1"/>
  <c r="K562" i="2" s="1"/>
  <c r="K563" i="2" s="1"/>
  <c r="K564" i="2" s="1"/>
  <c r="K565" i="2" s="1"/>
  <c r="K566" i="2" s="1"/>
  <c r="K567" i="2" s="1"/>
  <c r="K568" i="2" s="1"/>
  <c r="K569" i="2" s="1"/>
  <c r="K570" i="2" s="1"/>
  <c r="K571" i="2" s="1"/>
  <c r="K572" i="2" s="1"/>
  <c r="K573" i="2" s="1"/>
  <c r="K574" i="2" s="1"/>
  <c r="K575" i="2" s="1"/>
  <c r="K576" i="2" s="1"/>
  <c r="K577" i="2" s="1"/>
  <c r="K578" i="2" s="1"/>
  <c r="K579" i="2" s="1"/>
  <c r="K580" i="2" s="1"/>
  <c r="K581" i="2" s="1"/>
  <c r="K582" i="2" s="1"/>
  <c r="K583" i="2" s="1"/>
  <c r="K584" i="2" s="1"/>
  <c r="K585" i="2" s="1"/>
  <c r="K586" i="2" s="1"/>
  <c r="K587" i="2" s="1"/>
  <c r="K588" i="2" s="1"/>
  <c r="K589" i="2" s="1"/>
  <c r="K590" i="2" s="1"/>
  <c r="K591" i="2" s="1"/>
  <c r="K592" i="2" s="1"/>
  <c r="K593" i="2" s="1"/>
  <c r="K594" i="2" s="1"/>
  <c r="K595" i="2" s="1"/>
  <c r="K596" i="2" s="1"/>
  <c r="K597" i="2" s="1"/>
  <c r="K598" i="2" s="1"/>
  <c r="K599" i="2" s="1"/>
  <c r="K600" i="2" s="1"/>
  <c r="K601" i="2" s="1"/>
  <c r="K602" i="2" s="1"/>
  <c r="K603" i="2" s="1"/>
  <c r="K604" i="2" s="1"/>
  <c r="K605" i="2" s="1"/>
  <c r="K606" i="2" s="1"/>
  <c r="K607" i="2" s="1"/>
  <c r="K608" i="2" s="1"/>
  <c r="K609" i="2" s="1"/>
  <c r="K610" i="2" s="1"/>
  <c r="K611" i="2" s="1"/>
  <c r="K612" i="2" s="1"/>
  <c r="K613" i="2" s="1"/>
  <c r="K614" i="2" s="1"/>
  <c r="K615" i="2" s="1"/>
  <c r="K616" i="2" s="1"/>
  <c r="K617" i="2" s="1"/>
  <c r="K618" i="2" s="1"/>
  <c r="K619" i="2" s="1"/>
  <c r="K620" i="2" s="1"/>
  <c r="K621" i="2" s="1"/>
  <c r="K622" i="2" s="1"/>
  <c r="K623" i="2" s="1"/>
  <c r="K624" i="2" s="1"/>
  <c r="K625" i="2" s="1"/>
  <c r="K626" i="2" s="1"/>
  <c r="K627" i="2" s="1"/>
  <c r="K628" i="2" s="1"/>
  <c r="K629" i="2" s="1"/>
  <c r="K630" i="2" s="1"/>
  <c r="K631" i="2" s="1"/>
  <c r="K632" i="2" s="1"/>
  <c r="K633" i="2" s="1"/>
  <c r="K634" i="2" s="1"/>
  <c r="F64" i="2"/>
  <c r="C60" i="2"/>
  <c r="G60" i="2" s="1"/>
  <c r="F60" i="2"/>
  <c r="C56" i="2"/>
  <c r="L56" i="2" s="1"/>
  <c r="F56" i="2"/>
  <c r="C48" i="2"/>
  <c r="L48" i="2" s="1"/>
  <c r="F48" i="2"/>
  <c r="C36" i="2"/>
  <c r="G36" i="2" s="1"/>
  <c r="F36" i="2"/>
  <c r="C20" i="2"/>
  <c r="G20" i="2" s="1"/>
  <c r="F20" i="2"/>
  <c r="C8" i="2"/>
  <c r="G8" i="2" s="1"/>
  <c r="F8" i="2"/>
  <c r="D633" i="2"/>
  <c r="H633" i="2" s="1"/>
  <c r="I633" i="2" s="1"/>
  <c r="D625" i="2"/>
  <c r="D613" i="2"/>
  <c r="H613" i="2" s="1"/>
  <c r="I613" i="2" s="1"/>
  <c r="D601" i="2"/>
  <c r="H601" i="2" s="1"/>
  <c r="I601" i="2" s="1"/>
  <c r="E582" i="2"/>
  <c r="H419" i="2"/>
  <c r="I419" i="2" s="1"/>
  <c r="G630" i="2"/>
  <c r="L602" i="2"/>
  <c r="G598" i="2"/>
  <c r="L554" i="2"/>
  <c r="G406" i="2"/>
  <c r="H629" i="2"/>
  <c r="I629" i="2" s="1"/>
  <c r="E629" i="2"/>
  <c r="H517" i="2"/>
  <c r="I517" i="2" s="1"/>
  <c r="E605" i="2"/>
  <c r="E621" i="2"/>
  <c r="E610" i="2"/>
  <c r="H610" i="2"/>
  <c r="I610" i="2" s="1"/>
  <c r="H578" i="2"/>
  <c r="I578" i="2" s="1"/>
  <c r="L628" i="2"/>
  <c r="L592" i="2"/>
  <c r="G544" i="2"/>
  <c r="H631" i="2"/>
  <c r="I631" i="2" s="1"/>
  <c r="G543" i="2"/>
  <c r="H503" i="2"/>
  <c r="I503" i="2" s="1"/>
  <c r="G315" i="2"/>
  <c r="H451" i="2"/>
  <c r="I451" i="2" s="1"/>
  <c r="L585" i="2"/>
  <c r="G577" i="2"/>
  <c r="L333" i="2"/>
  <c r="L65" i="2"/>
  <c r="G65" i="2"/>
  <c r="H303" i="2"/>
  <c r="I303" i="2" s="1"/>
  <c r="E303" i="2"/>
  <c r="J303" i="2" s="1"/>
  <c r="H285" i="2"/>
  <c r="I285" i="2" s="1"/>
  <c r="H239" i="2"/>
  <c r="I239" i="2" s="1"/>
  <c r="E634" i="2"/>
  <c r="E626" i="2"/>
  <c r="E602" i="2"/>
  <c r="E594" i="2"/>
  <c r="E530" i="2"/>
  <c r="J530" i="2" s="1"/>
  <c r="H530" i="2"/>
  <c r="I530" i="2" s="1"/>
  <c r="L600" i="2"/>
  <c r="L584" i="2"/>
  <c r="H576" i="2"/>
  <c r="I576" i="2" s="1"/>
  <c r="H560" i="2"/>
  <c r="I560" i="2" s="1"/>
  <c r="E560" i="2"/>
  <c r="G552" i="2"/>
  <c r="E504" i="2"/>
  <c r="J504" i="2" s="1"/>
  <c r="E488" i="2"/>
  <c r="J488" i="2" s="1"/>
  <c r="G444" i="2"/>
  <c r="G392" i="2"/>
  <c r="G376" i="2"/>
  <c r="L332" i="2"/>
  <c r="G264" i="2"/>
  <c r="L248" i="2"/>
  <c r="E441" i="2"/>
  <c r="J441" i="2" s="1"/>
  <c r="H255" i="2"/>
  <c r="I255" i="2" s="1"/>
  <c r="E255" i="2"/>
  <c r="J255" i="2" s="1"/>
  <c r="E217" i="2"/>
  <c r="J217" i="2" s="1"/>
  <c r="H161" i="2"/>
  <c r="I161" i="2" s="1"/>
  <c r="E161" i="2"/>
  <c r="J161" i="2" s="1"/>
  <c r="E609" i="2"/>
  <c r="E473" i="2"/>
  <c r="J473" i="2" s="1"/>
  <c r="H632" i="2"/>
  <c r="I632" i="2" s="1"/>
  <c r="H504" i="2"/>
  <c r="I504" i="2" s="1"/>
  <c r="H67" i="2"/>
  <c r="I67" i="2" s="1"/>
  <c r="L546" i="2"/>
  <c r="J451" i="2"/>
  <c r="J419" i="2"/>
  <c r="E459" i="2"/>
  <c r="J459" i="2" s="1"/>
  <c r="E219" i="2"/>
  <c r="J219" i="2" s="1"/>
  <c r="E155" i="2"/>
  <c r="J155" i="2" s="1"/>
  <c r="G579" i="2"/>
  <c r="G467" i="2"/>
  <c r="G307" i="2"/>
  <c r="G259" i="2"/>
  <c r="G147" i="2"/>
  <c r="H491" i="2"/>
  <c r="I491" i="2" s="1"/>
  <c r="H475" i="2"/>
  <c r="I475" i="2" s="1"/>
  <c r="H97" i="2"/>
  <c r="I97" i="2" s="1"/>
  <c r="E97" i="2"/>
  <c r="J97" i="2" s="1"/>
  <c r="E519" i="2"/>
  <c r="J519" i="2" s="1"/>
  <c r="E483" i="2"/>
  <c r="J483" i="2" s="1"/>
  <c r="E351" i="2"/>
  <c r="J351" i="2" s="1"/>
  <c r="G594" i="2"/>
  <c r="G434" i="2"/>
  <c r="G375" i="2"/>
  <c r="G167" i="2"/>
  <c r="H271" i="2"/>
  <c r="I271" i="2" s="1"/>
  <c r="C164" i="2"/>
  <c r="D164" i="2"/>
  <c r="C148" i="2"/>
  <c r="D148" i="2"/>
  <c r="C132" i="2"/>
  <c r="D132" i="2"/>
  <c r="C100" i="2"/>
  <c r="G100" i="2" s="1"/>
  <c r="D100" i="2"/>
  <c r="C80" i="2"/>
  <c r="D80" i="2"/>
  <c r="C68" i="2"/>
  <c r="G68" i="2" s="1"/>
  <c r="D68" i="2"/>
  <c r="C44" i="2"/>
  <c r="D44" i="2"/>
  <c r="C40" i="2"/>
  <c r="D40" i="2"/>
  <c r="C32" i="2"/>
  <c r="D32" i="2"/>
  <c r="C28" i="2"/>
  <c r="D28" i="2"/>
  <c r="C24" i="2"/>
  <c r="D24" i="2"/>
  <c r="D388" i="2"/>
  <c r="D372" i="2"/>
  <c r="D340" i="2"/>
  <c r="D324" i="2"/>
  <c r="D292" i="2"/>
  <c r="D276" i="2"/>
  <c r="D244" i="2"/>
  <c r="D228" i="2"/>
  <c r="D196" i="2"/>
  <c r="D176" i="2"/>
  <c r="D168" i="2"/>
  <c r="D152" i="2"/>
  <c r="D88" i="2"/>
  <c r="C632" i="2"/>
  <c r="C576" i="2"/>
  <c r="C504" i="2"/>
  <c r="C175" i="2"/>
  <c r="D175" i="2"/>
  <c r="C143" i="2"/>
  <c r="G143" i="2" s="1"/>
  <c r="D143" i="2"/>
  <c r="C127" i="2"/>
  <c r="D127" i="2"/>
  <c r="C123" i="2"/>
  <c r="D123" i="2"/>
  <c r="C107" i="2"/>
  <c r="D107" i="2"/>
  <c r="C95" i="2"/>
  <c r="D95" i="2"/>
  <c r="C91" i="2"/>
  <c r="D91" i="2"/>
  <c r="C63" i="2"/>
  <c r="D63" i="2"/>
  <c r="C59" i="2"/>
  <c r="D59" i="2"/>
  <c r="C47" i="2"/>
  <c r="D47" i="2"/>
  <c r="C31" i="2"/>
  <c r="D31" i="2"/>
  <c r="D392" i="2"/>
  <c r="D387" i="2"/>
  <c r="D376" i="2"/>
  <c r="D371" i="2"/>
  <c r="D360" i="2"/>
  <c r="D344" i="2"/>
  <c r="D339" i="2"/>
  <c r="D328" i="2"/>
  <c r="D323" i="2"/>
  <c r="D312" i="2"/>
  <c r="D307" i="2"/>
  <c r="D296" i="2"/>
  <c r="D291" i="2"/>
  <c r="D280" i="2"/>
  <c r="D275" i="2"/>
  <c r="D264" i="2"/>
  <c r="D259" i="2"/>
  <c r="D248" i="2"/>
  <c r="D243" i="2"/>
  <c r="D232" i="2"/>
  <c r="D227" i="2"/>
  <c r="D216" i="2"/>
  <c r="D211" i="2"/>
  <c r="D200" i="2"/>
  <c r="D195" i="2"/>
  <c r="D188" i="2"/>
  <c r="D167" i="2"/>
  <c r="D160" i="2"/>
  <c r="D151" i="2"/>
  <c r="D140" i="2"/>
  <c r="D119" i="2"/>
  <c r="D108" i="2"/>
  <c r="D87" i="2"/>
  <c r="D76" i="2"/>
  <c r="D55" i="2"/>
  <c r="D27" i="2"/>
  <c r="C631" i="2"/>
  <c r="C616" i="2"/>
  <c r="C603" i="2"/>
  <c r="C588" i="2"/>
  <c r="C560" i="2"/>
  <c r="C531" i="2"/>
  <c r="C503" i="2"/>
  <c r="C488" i="2"/>
  <c r="C475" i="2"/>
  <c r="C459" i="2"/>
  <c r="C395" i="2"/>
  <c r="C327" i="2"/>
  <c r="G327" i="2" s="1"/>
  <c r="C299" i="2"/>
  <c r="G299" i="2" s="1"/>
  <c r="C272" i="2"/>
  <c r="G272" i="2" s="1"/>
  <c r="C115" i="2"/>
  <c r="G115" i="2" s="1"/>
  <c r="C51" i="2"/>
  <c r="D394" i="2"/>
  <c r="C394" i="2"/>
  <c r="D390" i="2"/>
  <c r="C390" i="2"/>
  <c r="D382" i="2"/>
  <c r="C382" i="2"/>
  <c r="G382" i="2" s="1"/>
  <c r="D370" i="2"/>
  <c r="C370" i="2"/>
  <c r="G370" i="2" s="1"/>
  <c r="D362" i="2"/>
  <c r="C362" i="2"/>
  <c r="D358" i="2"/>
  <c r="C358" i="2"/>
  <c r="G358" i="2" s="1"/>
  <c r="D350" i="2"/>
  <c r="C350" i="2"/>
  <c r="D338" i="2"/>
  <c r="C338" i="2"/>
  <c r="G338" i="2" s="1"/>
  <c r="C334" i="2"/>
  <c r="D334" i="2"/>
  <c r="C330" i="2"/>
  <c r="G330" i="2" s="1"/>
  <c r="D330" i="2"/>
  <c r="D326" i="2"/>
  <c r="C326" i="2"/>
  <c r="C322" i="2"/>
  <c r="D322" i="2"/>
  <c r="C318" i="2"/>
  <c r="D318" i="2"/>
  <c r="C314" i="2"/>
  <c r="D314" i="2"/>
  <c r="D310" i="2"/>
  <c r="C310" i="2"/>
  <c r="D306" i="2"/>
  <c r="C306" i="2"/>
  <c r="C302" i="2"/>
  <c r="G302" i="2" s="1"/>
  <c r="D302" i="2"/>
  <c r="C298" i="2"/>
  <c r="G298" i="2" s="1"/>
  <c r="D298" i="2"/>
  <c r="D294" i="2"/>
  <c r="C294" i="2"/>
  <c r="C290" i="2"/>
  <c r="D290" i="2"/>
  <c r="C286" i="2"/>
  <c r="G286" i="2" s="1"/>
  <c r="D286" i="2"/>
  <c r="C282" i="2"/>
  <c r="G282" i="2" s="1"/>
  <c r="D282" i="2"/>
  <c r="D278" i="2"/>
  <c r="C278" i="2"/>
  <c r="C270" i="2"/>
  <c r="G270" i="2" s="1"/>
  <c r="D270" i="2"/>
  <c r="C266" i="2"/>
  <c r="D266" i="2"/>
  <c r="C258" i="2"/>
  <c r="D258" i="2"/>
  <c r="C254" i="2"/>
  <c r="G254" i="2" s="1"/>
  <c r="D254" i="2"/>
  <c r="C250" i="2"/>
  <c r="D250" i="2"/>
  <c r="C238" i="2"/>
  <c r="D238" i="2"/>
  <c r="C234" i="2"/>
  <c r="D234" i="2"/>
  <c r="C226" i="2"/>
  <c r="D226" i="2"/>
  <c r="C222" i="2"/>
  <c r="D222" i="2"/>
  <c r="C218" i="2"/>
  <c r="D218" i="2"/>
  <c r="C214" i="2"/>
  <c r="G214" i="2" s="1"/>
  <c r="D214" i="2"/>
  <c r="C206" i="2"/>
  <c r="D206" i="2"/>
  <c r="C202" i="2"/>
  <c r="G202" i="2" s="1"/>
  <c r="D202" i="2"/>
  <c r="C194" i="2"/>
  <c r="D194" i="2"/>
  <c r="C190" i="2"/>
  <c r="D190" i="2"/>
  <c r="C186" i="2"/>
  <c r="D186" i="2"/>
  <c r="C182" i="2"/>
  <c r="G182" i="2" s="1"/>
  <c r="D182" i="2"/>
  <c r="D178" i="2"/>
  <c r="C178" i="2"/>
  <c r="C174" i="2"/>
  <c r="D174" i="2"/>
  <c r="C170" i="2"/>
  <c r="G170" i="2" s="1"/>
  <c r="D170" i="2"/>
  <c r="D166" i="2"/>
  <c r="C166" i="2"/>
  <c r="C162" i="2"/>
  <c r="D162" i="2"/>
  <c r="C158" i="2"/>
  <c r="G158" i="2" s="1"/>
  <c r="D158" i="2"/>
  <c r="C154" i="2"/>
  <c r="G154" i="2" s="1"/>
  <c r="D154" i="2"/>
  <c r="C150" i="2"/>
  <c r="D150" i="2"/>
  <c r="C142" i="2"/>
  <c r="G142" i="2" s="1"/>
  <c r="D142" i="2"/>
  <c r="C138" i="2"/>
  <c r="D138" i="2"/>
  <c r="C134" i="2"/>
  <c r="D134" i="2"/>
  <c r="C126" i="2"/>
  <c r="D126" i="2"/>
  <c r="C122" i="2"/>
  <c r="D122" i="2"/>
  <c r="C118" i="2"/>
  <c r="D118" i="2"/>
  <c r="D114" i="2"/>
  <c r="C114" i="2"/>
  <c r="G114" i="2" s="1"/>
  <c r="C110" i="2"/>
  <c r="G110" i="2" s="1"/>
  <c r="D110" i="2"/>
  <c r="C106" i="2"/>
  <c r="D106" i="2"/>
  <c r="C102" i="2"/>
  <c r="G102" i="2" s="1"/>
  <c r="D102" i="2"/>
  <c r="C94" i="2"/>
  <c r="D94" i="2"/>
  <c r="C90" i="2"/>
  <c r="D90" i="2"/>
  <c r="C86" i="2"/>
  <c r="D86" i="2"/>
  <c r="D82" i="2"/>
  <c r="C82" i="2"/>
  <c r="C78" i="2"/>
  <c r="D78" i="2"/>
  <c r="C74" i="2"/>
  <c r="G74" i="2" s="1"/>
  <c r="D74" i="2"/>
  <c r="C70" i="2"/>
  <c r="G70" i="2" s="1"/>
  <c r="D70" i="2"/>
  <c r="C62" i="2"/>
  <c r="D62" i="2"/>
  <c r="C58" i="2"/>
  <c r="D58" i="2"/>
  <c r="C54" i="2"/>
  <c r="G54" i="2" s="1"/>
  <c r="D54" i="2"/>
  <c r="D50" i="2"/>
  <c r="C50" i="2"/>
  <c r="C46" i="2"/>
  <c r="D46" i="2"/>
  <c r="C38" i="2"/>
  <c r="D38" i="2"/>
  <c r="C26" i="2"/>
  <c r="D26" i="2"/>
  <c r="D18" i="2"/>
  <c r="C18" i="2"/>
  <c r="C10" i="2"/>
  <c r="D10" i="2"/>
  <c r="D628" i="2"/>
  <c r="D624" i="2"/>
  <c r="D620" i="2"/>
  <c r="D612" i="2"/>
  <c r="D608" i="2"/>
  <c r="D604" i="2"/>
  <c r="D600" i="2"/>
  <c r="D596" i="2"/>
  <c r="D592" i="2"/>
  <c r="D584" i="2"/>
  <c r="D580" i="2"/>
  <c r="D572" i="2"/>
  <c r="D568" i="2"/>
  <c r="D564" i="2"/>
  <c r="D556" i="2"/>
  <c r="D552" i="2"/>
  <c r="D548" i="2"/>
  <c r="D544" i="2"/>
  <c r="D540" i="2"/>
  <c r="D536" i="2"/>
  <c r="D532" i="2"/>
  <c r="D528" i="2"/>
  <c r="D524" i="2"/>
  <c r="D520" i="2"/>
  <c r="D516" i="2"/>
  <c r="D512" i="2"/>
  <c r="D508" i="2"/>
  <c r="D500" i="2"/>
  <c r="D496" i="2"/>
  <c r="D492" i="2"/>
  <c r="D484" i="2"/>
  <c r="D480" i="2"/>
  <c r="D476" i="2"/>
  <c r="D472" i="2"/>
  <c r="D468" i="2"/>
  <c r="D464" i="2"/>
  <c r="D460" i="2"/>
  <c r="D456" i="2"/>
  <c r="D452" i="2"/>
  <c r="D448" i="2"/>
  <c r="D444" i="2"/>
  <c r="D440" i="2"/>
  <c r="D436" i="2"/>
  <c r="D432" i="2"/>
  <c r="D428" i="2"/>
  <c r="D424" i="2"/>
  <c r="D420" i="2"/>
  <c r="D416" i="2"/>
  <c r="D412" i="2"/>
  <c r="D408" i="2"/>
  <c r="D404" i="2"/>
  <c r="D400" i="2"/>
  <c r="D396" i="2"/>
  <c r="D391" i="2"/>
  <c r="D385" i="2"/>
  <c r="D380" i="2"/>
  <c r="D375" i="2"/>
  <c r="D369" i="2"/>
  <c r="D364" i="2"/>
  <c r="D359" i="2"/>
  <c r="D353" i="2"/>
  <c r="D348" i="2"/>
  <c r="D343" i="2"/>
  <c r="D337" i="2"/>
  <c r="D332" i="2"/>
  <c r="D321" i="2"/>
  <c r="D316" i="2"/>
  <c r="D311" i="2"/>
  <c r="D305" i="2"/>
  <c r="D300" i="2"/>
  <c r="D295" i="2"/>
  <c r="D289" i="2"/>
  <c r="D284" i="2"/>
  <c r="D279" i="2"/>
  <c r="D273" i="2"/>
  <c r="D268" i="2"/>
  <c r="D263" i="2"/>
  <c r="D257" i="2"/>
  <c r="D252" i="2"/>
  <c r="D247" i="2"/>
  <c r="D241" i="2"/>
  <c r="D236" i="2"/>
  <c r="D231" i="2"/>
  <c r="D225" i="2"/>
  <c r="D220" i="2"/>
  <c r="D215" i="2"/>
  <c r="D209" i="2"/>
  <c r="D204" i="2"/>
  <c r="D199" i="2"/>
  <c r="D193" i="2"/>
  <c r="D187" i="2"/>
  <c r="D179" i="2"/>
  <c r="D172" i="2"/>
  <c r="D165" i="2"/>
  <c r="D157" i="2"/>
  <c r="D147" i="2"/>
  <c r="D136" i="2"/>
  <c r="D125" i="2"/>
  <c r="D104" i="2"/>
  <c r="D93" i="2"/>
  <c r="D83" i="2"/>
  <c r="D72" i="2"/>
  <c r="D61" i="2"/>
  <c r="D36" i="2"/>
  <c r="D22" i="2"/>
  <c r="D8" i="2"/>
  <c r="C611" i="2"/>
  <c r="C583" i="2"/>
  <c r="C555" i="2"/>
  <c r="C483" i="2"/>
  <c r="G483" i="2" s="1"/>
  <c r="C451" i="2"/>
  <c r="G451" i="2" s="1"/>
  <c r="C366" i="2"/>
  <c r="C346" i="2"/>
  <c r="C288" i="2"/>
  <c r="G288" i="2" s="1"/>
  <c r="C262" i="2"/>
  <c r="C198" i="2"/>
  <c r="C155" i="2"/>
  <c r="G155" i="2" s="1"/>
  <c r="C98" i="2"/>
  <c r="C34" i="2"/>
  <c r="C180" i="2"/>
  <c r="G180" i="2" s="1"/>
  <c r="D180" i="2"/>
  <c r="C144" i="2"/>
  <c r="G144" i="2" s="1"/>
  <c r="D144" i="2"/>
  <c r="C128" i="2"/>
  <c r="G128" i="2" s="1"/>
  <c r="D128" i="2"/>
  <c r="C116" i="2"/>
  <c r="G116" i="2" s="1"/>
  <c r="D116" i="2"/>
  <c r="C112" i="2"/>
  <c r="G112" i="2" s="1"/>
  <c r="D112" i="2"/>
  <c r="C96" i="2"/>
  <c r="G96" i="2" s="1"/>
  <c r="D96" i="2"/>
  <c r="C84" i="2"/>
  <c r="G84" i="2" s="1"/>
  <c r="D84" i="2"/>
  <c r="C64" i="2"/>
  <c r="D64" i="2"/>
  <c r="C52" i="2"/>
  <c r="G52" i="2" s="1"/>
  <c r="D52" i="2"/>
  <c r="C16" i="2"/>
  <c r="D16" i="2"/>
  <c r="C12" i="2"/>
  <c r="D12" i="2"/>
  <c r="C4" i="2"/>
  <c r="D4" i="2"/>
  <c r="D356" i="2"/>
  <c r="D308" i="2"/>
  <c r="D260" i="2"/>
  <c r="D212" i="2"/>
  <c r="D120" i="2"/>
  <c r="D56" i="2"/>
  <c r="C304" i="2"/>
  <c r="C191" i="2"/>
  <c r="D191" i="2"/>
  <c r="C159" i="2"/>
  <c r="G159" i="2" s="1"/>
  <c r="D159" i="2"/>
  <c r="C139" i="2"/>
  <c r="G139" i="2" s="1"/>
  <c r="D139" i="2"/>
  <c r="C111" i="2"/>
  <c r="G111" i="2" s="1"/>
  <c r="D111" i="2"/>
  <c r="C79" i="2"/>
  <c r="D79" i="2"/>
  <c r="C75" i="2"/>
  <c r="G75" i="2" s="1"/>
  <c r="D75" i="2"/>
  <c r="C39" i="2"/>
  <c r="D39" i="2"/>
  <c r="C23" i="2"/>
  <c r="D23" i="2"/>
  <c r="C11" i="2"/>
  <c r="G11" i="2" s="1"/>
  <c r="D11" i="2"/>
  <c r="C7" i="2"/>
  <c r="G7" i="2" s="1"/>
  <c r="D7" i="2"/>
  <c r="C185" i="2"/>
  <c r="G185" i="2" s="1"/>
  <c r="D185" i="2"/>
  <c r="C169" i="2"/>
  <c r="G169" i="2" s="1"/>
  <c r="D169" i="2"/>
  <c r="C153" i="2"/>
  <c r="G153" i="2" s="1"/>
  <c r="D153" i="2"/>
  <c r="C149" i="2"/>
  <c r="D149" i="2"/>
  <c r="C137" i="2"/>
  <c r="G137" i="2" s="1"/>
  <c r="D137" i="2"/>
  <c r="C133" i="2"/>
  <c r="D133" i="2"/>
  <c r="C121" i="2"/>
  <c r="D121" i="2"/>
  <c r="C117" i="2"/>
  <c r="G117" i="2" s="1"/>
  <c r="D117" i="2"/>
  <c r="C105" i="2"/>
  <c r="D105" i="2"/>
  <c r="C101" i="2"/>
  <c r="G101" i="2" s="1"/>
  <c r="D101" i="2"/>
  <c r="C89" i="2"/>
  <c r="G89" i="2" s="1"/>
  <c r="D89" i="2"/>
  <c r="C85" i="2"/>
  <c r="G85" i="2" s="1"/>
  <c r="D85" i="2"/>
  <c r="C73" i="2"/>
  <c r="G73" i="2" s="1"/>
  <c r="D73" i="2"/>
  <c r="C69" i="2"/>
  <c r="G69" i="2" s="1"/>
  <c r="D69" i="2"/>
  <c r="C57" i="2"/>
  <c r="D57" i="2"/>
  <c r="C53" i="2"/>
  <c r="G53" i="2" s="1"/>
  <c r="D53" i="2"/>
  <c r="C49" i="2"/>
  <c r="D49" i="2"/>
  <c r="C45" i="2"/>
  <c r="D45" i="2"/>
  <c r="C41" i="2"/>
  <c r="G41" i="2" s="1"/>
  <c r="D41" i="2"/>
  <c r="C37" i="2"/>
  <c r="G37" i="2" s="1"/>
  <c r="D37" i="2"/>
  <c r="C33" i="2"/>
  <c r="D33" i="2"/>
  <c r="C29" i="2"/>
  <c r="D29" i="2"/>
  <c r="C25" i="2"/>
  <c r="G25" i="2" s="1"/>
  <c r="D25" i="2"/>
  <c r="C21" i="2"/>
  <c r="G21" i="2" s="1"/>
  <c r="D21" i="2"/>
  <c r="C17" i="2"/>
  <c r="D17" i="2"/>
  <c r="C13" i="2"/>
  <c r="D13" i="2"/>
  <c r="C9" i="2"/>
  <c r="D9" i="2"/>
  <c r="C5" i="2"/>
  <c r="G5" i="2" s="1"/>
  <c r="D5" i="2"/>
  <c r="D3" i="2"/>
  <c r="D627" i="2"/>
  <c r="D623" i="2"/>
  <c r="D615" i="2"/>
  <c r="D607" i="2"/>
  <c r="D599" i="2"/>
  <c r="D595" i="2"/>
  <c r="D591" i="2"/>
  <c r="D587" i="2"/>
  <c r="D579" i="2"/>
  <c r="D575" i="2"/>
  <c r="D571" i="2"/>
  <c r="D567" i="2"/>
  <c r="D563" i="2"/>
  <c r="D559" i="2"/>
  <c r="D551" i="2"/>
  <c r="D543" i="2"/>
  <c r="D539" i="2"/>
  <c r="D535" i="2"/>
  <c r="D527" i="2"/>
  <c r="D523" i="2"/>
  <c r="D515" i="2"/>
  <c r="D511" i="2"/>
  <c r="D507" i="2"/>
  <c r="D499" i="2"/>
  <c r="D495" i="2"/>
  <c r="D487" i="2"/>
  <c r="D479" i="2"/>
  <c r="D471" i="2"/>
  <c r="D467" i="2"/>
  <c r="D463" i="2"/>
  <c r="D455" i="2"/>
  <c r="D447" i="2"/>
  <c r="D443" i="2"/>
  <c r="D439" i="2"/>
  <c r="D435" i="2"/>
  <c r="D431" i="2"/>
  <c r="D427" i="2"/>
  <c r="D423" i="2"/>
  <c r="D415" i="2"/>
  <c r="D411" i="2"/>
  <c r="D407" i="2"/>
  <c r="D403" i="2"/>
  <c r="D399" i="2"/>
  <c r="D389" i="2"/>
  <c r="D384" i="2"/>
  <c r="D379" i="2"/>
  <c r="D373" i="2"/>
  <c r="D368" i="2"/>
  <c r="D363" i="2"/>
  <c r="D357" i="2"/>
  <c r="D352" i="2"/>
  <c r="D347" i="2"/>
  <c r="D341" i="2"/>
  <c r="D336" i="2"/>
  <c r="D325" i="2"/>
  <c r="D320" i="2"/>
  <c r="D315" i="2"/>
  <c r="D309" i="2"/>
  <c r="D293" i="2"/>
  <c r="D283" i="2"/>
  <c r="D277" i="2"/>
  <c r="D267" i="2"/>
  <c r="D261" i="2"/>
  <c r="D256" i="2"/>
  <c r="D251" i="2"/>
  <c r="D245" i="2"/>
  <c r="D240" i="2"/>
  <c r="D235" i="2"/>
  <c r="D229" i="2"/>
  <c r="D224" i="2"/>
  <c r="D213" i="2"/>
  <c r="D208" i="2"/>
  <c r="D203" i="2"/>
  <c r="D197" i="2"/>
  <c r="D192" i="2"/>
  <c r="D184" i="2"/>
  <c r="D177" i="2"/>
  <c r="D171" i="2"/>
  <c r="D163" i="2"/>
  <c r="D156" i="2"/>
  <c r="D145" i="2"/>
  <c r="D135" i="2"/>
  <c r="D124" i="2"/>
  <c r="D113" i="2"/>
  <c r="D103" i="2"/>
  <c r="D92" i="2"/>
  <c r="D81" i="2"/>
  <c r="D71" i="2"/>
  <c r="D60" i="2"/>
  <c r="D48" i="2"/>
  <c r="D35" i="2"/>
  <c r="D20" i="2"/>
  <c r="D6" i="2"/>
  <c r="C386" i="2"/>
  <c r="G386" i="2" s="1"/>
  <c r="C342" i="2"/>
  <c r="G342" i="2" s="1"/>
  <c r="C230" i="2"/>
  <c r="G230" i="2" s="1"/>
  <c r="C146" i="2"/>
  <c r="C19" i="2"/>
  <c r="H378" i="2" l="1"/>
  <c r="I378" i="2" s="1"/>
  <c r="G563" i="2"/>
  <c r="G595" i="2"/>
  <c r="E589" i="2"/>
  <c r="H611" i="2"/>
  <c r="I611" i="2" s="1"/>
  <c r="H555" i="2"/>
  <c r="I555" i="2" s="1"/>
  <c r="G374" i="2"/>
  <c r="L292" i="2"/>
  <c r="L293" i="2" s="1"/>
  <c r="L294" i="2" s="1"/>
  <c r="L295" i="2" s="1"/>
  <c r="L296" i="2" s="1"/>
  <c r="L297" i="2" s="1"/>
  <c r="L298" i="2" s="1"/>
  <c r="L299" i="2" s="1"/>
  <c r="L300" i="2" s="1"/>
  <c r="L301" i="2" s="1"/>
  <c r="L302" i="2" s="1"/>
  <c r="E205" i="2"/>
  <c r="J205" i="2" s="1"/>
  <c r="H603" i="2"/>
  <c r="I603" i="2" s="1"/>
  <c r="H522" i="2"/>
  <c r="I522" i="2" s="1"/>
  <c r="L549" i="2"/>
  <c r="E547" i="2"/>
  <c r="G571" i="2"/>
  <c r="L392" i="2"/>
  <c r="L283" i="2"/>
  <c r="L284" i="2" s="1"/>
  <c r="L285" i="2" s="1"/>
  <c r="L286" i="2" s="1"/>
  <c r="L287" i="2" s="1"/>
  <c r="L288" i="2" s="1"/>
  <c r="E569" i="2"/>
  <c r="E345" i="2"/>
  <c r="J345" i="2" s="1"/>
  <c r="H43" i="2"/>
  <c r="I43" i="2" s="1"/>
  <c r="G486" i="2"/>
  <c r="E630" i="2"/>
  <c r="E99" i="2"/>
  <c r="J99" i="2" s="1"/>
  <c r="E223" i="2"/>
  <c r="J223" i="2" s="1"/>
  <c r="H413" i="2"/>
  <c r="I413" i="2" s="1"/>
  <c r="E562" i="2"/>
  <c r="G553" i="2"/>
  <c r="G617" i="2"/>
  <c r="E502" i="2"/>
  <c r="J502" i="2" s="1"/>
  <c r="G283" i="2"/>
  <c r="H493" i="2"/>
  <c r="I493" i="2" s="1"/>
  <c r="H230" i="2"/>
  <c r="I230" i="2" s="1"/>
  <c r="L550" i="2"/>
  <c r="L606" i="2"/>
  <c r="L533" i="2"/>
  <c r="E618" i="2"/>
  <c r="H619" i="2"/>
  <c r="I619" i="2" s="1"/>
  <c r="G590" i="2"/>
  <c r="L76" i="2"/>
  <c r="L77" i="2" s="1"/>
  <c r="G604" i="2"/>
  <c r="G217" i="2"/>
  <c r="L569" i="2"/>
  <c r="H183" i="2"/>
  <c r="I183" i="2" s="1"/>
  <c r="L246" i="2"/>
  <c r="L490" i="2"/>
  <c r="L491" i="2" s="1"/>
  <c r="L492" i="2" s="1"/>
  <c r="L493" i="2" s="1"/>
  <c r="L494" i="2" s="1"/>
  <c r="L495" i="2" s="1"/>
  <c r="L496" i="2" s="1"/>
  <c r="L497" i="2" s="1"/>
  <c r="L498" i="2" s="1"/>
  <c r="L499" i="2" s="1"/>
  <c r="E361" i="2"/>
  <c r="J361" i="2" s="1"/>
  <c r="E545" i="2"/>
  <c r="E593" i="2"/>
  <c r="H409" i="2"/>
  <c r="I409" i="2" s="1"/>
  <c r="G257" i="2"/>
  <c r="L433" i="2"/>
  <c r="L434" i="2" s="1"/>
  <c r="L435" i="2" s="1"/>
  <c r="L436" i="2" s="1"/>
  <c r="L437" i="2" s="1"/>
  <c r="L438" i="2" s="1"/>
  <c r="L439" i="2" s="1"/>
  <c r="L440" i="2" s="1"/>
  <c r="L441" i="2" s="1"/>
  <c r="L442" i="2" s="1"/>
  <c r="L443" i="2" s="1"/>
  <c r="L565" i="2"/>
  <c r="G634" i="2"/>
  <c r="E573" i="2"/>
  <c r="G610" i="2"/>
  <c r="H422" i="2"/>
  <c r="I422" i="2" s="1"/>
  <c r="E454" i="2"/>
  <c r="J454" i="2" s="1"/>
  <c r="J542" i="2"/>
  <c r="L568" i="2"/>
  <c r="E402" i="2"/>
  <c r="J402" i="2" s="1"/>
  <c r="E561" i="2"/>
  <c r="E319" i="2"/>
  <c r="J319" i="2" s="1"/>
  <c r="E425" i="2"/>
  <c r="J425" i="2" s="1"/>
  <c r="H529" i="2"/>
  <c r="I529" i="2" s="1"/>
  <c r="H466" i="2"/>
  <c r="I466" i="2" s="1"/>
  <c r="E393" i="2"/>
  <c r="J393" i="2" s="1"/>
  <c r="L177" i="2"/>
  <c r="L277" i="2"/>
  <c r="G533" i="2"/>
  <c r="L597" i="2"/>
  <c r="G235" i="2"/>
  <c r="G187" i="2"/>
  <c r="G347" i="2"/>
  <c r="E557" i="2"/>
  <c r="E525" i="2"/>
  <c r="J525" i="2" s="1"/>
  <c r="H246" i="2"/>
  <c r="I246" i="2" s="1"/>
  <c r="G582" i="2"/>
  <c r="E414" i="2"/>
  <c r="J414" i="2" s="1"/>
  <c r="H616" i="2"/>
  <c r="I616" i="2" s="1"/>
  <c r="E518" i="2"/>
  <c r="J518" i="2" s="1"/>
  <c r="G562" i="2"/>
  <c r="E335" i="2"/>
  <c r="J335" i="2" s="1"/>
  <c r="H269" i="2"/>
  <c r="I269" i="2" s="1"/>
  <c r="E253" i="2"/>
  <c r="J253" i="2" s="1"/>
  <c r="E577" i="2"/>
  <c r="H383" i="2"/>
  <c r="I383" i="2" s="1"/>
  <c r="E457" i="2"/>
  <c r="J457" i="2" s="1"/>
  <c r="L364" i="2"/>
  <c r="G619" i="2"/>
  <c r="E586" i="2"/>
  <c r="L245" i="2"/>
  <c r="G417" i="2"/>
  <c r="L581" i="2"/>
  <c r="G623" i="2"/>
  <c r="G119" i="2"/>
  <c r="G402" i="2"/>
  <c r="E346" i="2"/>
  <c r="J346" i="2" s="1"/>
  <c r="H534" i="2"/>
  <c r="I534" i="2" s="1"/>
  <c r="G275" i="2"/>
  <c r="G403" i="2"/>
  <c r="E434" i="2"/>
  <c r="J434" i="2" s="1"/>
  <c r="H288" i="2"/>
  <c r="I288" i="2" s="1"/>
  <c r="H329" i="2"/>
  <c r="I329" i="2" s="1"/>
  <c r="L189" i="2"/>
  <c r="L289" i="2"/>
  <c r="J534" i="2"/>
  <c r="L66" i="2"/>
  <c r="H210" i="2"/>
  <c r="I210" i="2" s="1"/>
  <c r="H274" i="2"/>
  <c r="I274" i="2" s="1"/>
  <c r="L220" i="2"/>
  <c r="G247" i="2"/>
  <c r="E531" i="2"/>
  <c r="J531" i="2" s="1"/>
  <c r="E395" i="2"/>
  <c r="J395" i="2" s="1"/>
  <c r="J51" i="2"/>
  <c r="G219" i="2"/>
  <c r="E489" i="2"/>
  <c r="J489" i="2" s="1"/>
  <c r="E417" i="2"/>
  <c r="J417" i="2" s="1"/>
  <c r="G472" i="2"/>
  <c r="E458" i="2"/>
  <c r="J458" i="2" s="1"/>
  <c r="L377" i="2"/>
  <c r="L378" i="2" s="1"/>
  <c r="L379" i="2" s="1"/>
  <c r="L380" i="2" s="1"/>
  <c r="L381" i="2" s="1"/>
  <c r="L382" i="2" s="1"/>
  <c r="L383" i="2" s="1"/>
  <c r="L384" i="2" s="1"/>
  <c r="L385" i="2" s="1"/>
  <c r="L386" i="2" s="1"/>
  <c r="L387" i="2" s="1"/>
  <c r="L517" i="2"/>
  <c r="L518" i="2" s="1"/>
  <c r="L519" i="2" s="1"/>
  <c r="L520" i="2" s="1"/>
  <c r="L521" i="2" s="1"/>
  <c r="L522" i="2" s="1"/>
  <c r="L523" i="2" s="1"/>
  <c r="L524" i="2" s="1"/>
  <c r="L525" i="2" s="1"/>
  <c r="L526" i="2" s="1"/>
  <c r="L527" i="2" s="1"/>
  <c r="L528" i="2" s="1"/>
  <c r="H418" i="2"/>
  <c r="I418" i="2" s="1"/>
  <c r="J183" i="2"/>
  <c r="H542" i="2"/>
  <c r="I542" i="2" s="1"/>
  <c r="E633" i="2"/>
  <c r="G336" i="2"/>
  <c r="H333" i="2"/>
  <c r="I333" i="2" s="1"/>
  <c r="G349" i="2"/>
  <c r="G609" i="2"/>
  <c r="L633" i="2"/>
  <c r="L566" i="2"/>
  <c r="H445" i="2"/>
  <c r="I445" i="2" s="1"/>
  <c r="L389" i="2"/>
  <c r="E590" i="2"/>
  <c r="G564" i="2"/>
  <c r="E262" i="2"/>
  <c r="J262" i="2" s="1"/>
  <c r="H513" i="2"/>
  <c r="I513" i="2" s="1"/>
  <c r="E410" i="2"/>
  <c r="J410" i="2" s="1"/>
  <c r="G135" i="2"/>
  <c r="H181" i="2"/>
  <c r="I181" i="2" s="1"/>
  <c r="G462" i="2"/>
  <c r="H297" i="2"/>
  <c r="I297" i="2" s="1"/>
  <c r="H109" i="2"/>
  <c r="I109" i="2" s="1"/>
  <c r="E490" i="2"/>
  <c r="J490" i="2" s="1"/>
  <c r="H221" i="2"/>
  <c r="I221" i="2" s="1"/>
  <c r="H474" i="2"/>
  <c r="I474" i="2" s="1"/>
  <c r="L249" i="2"/>
  <c r="L250" i="2" s="1"/>
  <c r="L251" i="2" s="1"/>
  <c r="L252" i="2" s="1"/>
  <c r="L253" i="2" s="1"/>
  <c r="L254" i="2" s="1"/>
  <c r="L255" i="2" s="1"/>
  <c r="L256" i="2" s="1"/>
  <c r="L257" i="2" s="1"/>
  <c r="G501" i="2"/>
  <c r="H386" i="2"/>
  <c r="I386" i="2" s="1"/>
  <c r="E397" i="2"/>
  <c r="J397" i="2" s="1"/>
  <c r="E429" i="2"/>
  <c r="J429" i="2" s="1"/>
  <c r="E461" i="2"/>
  <c r="J461" i="2" s="1"/>
  <c r="E365" i="2"/>
  <c r="J365" i="2" s="1"/>
  <c r="E42" i="2"/>
  <c r="J42" i="2" s="1"/>
  <c r="E265" i="2"/>
  <c r="J265" i="2" s="1"/>
  <c r="G93" i="2"/>
  <c r="G205" i="2"/>
  <c r="L305" i="2"/>
  <c r="L405" i="2"/>
  <c r="L406" i="2" s="1"/>
  <c r="E526" i="2"/>
  <c r="J526" i="2" s="1"/>
  <c r="E477" i="2"/>
  <c r="J477" i="2" s="1"/>
  <c r="E509" i="2"/>
  <c r="J509" i="2" s="1"/>
  <c r="G276" i="2"/>
  <c r="H342" i="2"/>
  <c r="I342" i="2" s="1"/>
  <c r="G15" i="2"/>
  <c r="G120" i="2"/>
  <c r="L36" i="2"/>
  <c r="L37" i="2" s="1"/>
  <c r="L38" i="2" s="1"/>
  <c r="H141" i="2"/>
  <c r="I141" i="2" s="1"/>
  <c r="G416" i="2"/>
  <c r="E304" i="2"/>
  <c r="J304" i="2" s="1"/>
  <c r="H478" i="2"/>
  <c r="I478" i="2" s="1"/>
  <c r="G490" i="2"/>
  <c r="E377" i="2"/>
  <c r="J377" i="2" s="1"/>
  <c r="H470" i="2"/>
  <c r="I470" i="2" s="1"/>
  <c r="J281" i="2"/>
  <c r="G204" i="2"/>
  <c r="L445" i="2"/>
  <c r="J470" i="2"/>
  <c r="E34" i="2"/>
  <c r="J34" i="2" s="1"/>
  <c r="H51" i="2"/>
  <c r="I51" i="2" s="1"/>
  <c r="E430" i="2"/>
  <c r="J430" i="2" s="1"/>
  <c r="L534" i="2"/>
  <c r="L535" i="2" s="1"/>
  <c r="L536" i="2" s="1"/>
  <c r="L537" i="2" s="1"/>
  <c r="L538" i="2" s="1"/>
  <c r="L539" i="2" s="1"/>
  <c r="L540" i="2" s="1"/>
  <c r="L541" i="2" s="1"/>
  <c r="L542" i="2" s="1"/>
  <c r="G348" i="2"/>
  <c r="G92" i="2"/>
  <c r="E406" i="2"/>
  <c r="J406" i="2" s="1"/>
  <c r="E505" i="2"/>
  <c r="J505" i="2" s="1"/>
  <c r="G519" i="2"/>
  <c r="G615" i="2"/>
  <c r="G35" i="2"/>
  <c r="E65" i="2"/>
  <c r="J65" i="2" s="1"/>
  <c r="E601" i="2"/>
  <c r="L419" i="2"/>
  <c r="E433" i="2"/>
  <c r="J433" i="2" s="1"/>
  <c r="L360" i="2"/>
  <c r="H173" i="2"/>
  <c r="I173" i="2" s="1"/>
  <c r="L589" i="2"/>
  <c r="L447" i="2"/>
  <c r="L448" i="2" s="1"/>
  <c r="L449" i="2" s="1"/>
  <c r="L450" i="2" s="1"/>
  <c r="L451" i="2" s="1"/>
  <c r="L452" i="2" s="1"/>
  <c r="L453" i="2" s="1"/>
  <c r="L454" i="2" s="1"/>
  <c r="L455" i="2" s="1"/>
  <c r="L456" i="2" s="1"/>
  <c r="L457" i="2" s="1"/>
  <c r="H565" i="2"/>
  <c r="I565" i="2" s="1"/>
  <c r="H130" i="2"/>
  <c r="I130" i="2" s="1"/>
  <c r="L474" i="2"/>
  <c r="G558" i="2"/>
  <c r="H606" i="2"/>
  <c r="I606" i="2" s="1"/>
  <c r="G448" i="2"/>
  <c r="H233" i="2"/>
  <c r="I233" i="2" s="1"/>
  <c r="H237" i="2"/>
  <c r="I237" i="2" s="1"/>
  <c r="E301" i="2"/>
  <c r="J301" i="2" s="1"/>
  <c r="E401" i="2"/>
  <c r="J401" i="2" s="1"/>
  <c r="H465" i="2"/>
  <c r="I465" i="2" s="1"/>
  <c r="G601" i="2"/>
  <c r="G404" i="2"/>
  <c r="G614" i="2"/>
  <c r="E598" i="2"/>
  <c r="E550" i="2"/>
  <c r="E313" i="2"/>
  <c r="J313" i="2" s="1"/>
  <c r="E537" i="2"/>
  <c r="J537" i="2" s="1"/>
  <c r="E367" i="2"/>
  <c r="J367" i="2" s="1"/>
  <c r="J374" i="2"/>
  <c r="H15" i="2"/>
  <c r="I15" i="2" s="1"/>
  <c r="L316" i="2"/>
  <c r="L317" i="2" s="1"/>
  <c r="G48" i="2"/>
  <c r="E189" i="2"/>
  <c r="J189" i="2" s="1"/>
  <c r="E449" i="2"/>
  <c r="J449" i="2" s="1"/>
  <c r="G160" i="2"/>
  <c r="G575" i="2"/>
  <c r="E549" i="2"/>
  <c r="H374" i="2"/>
  <c r="I374" i="2" s="1"/>
  <c r="G586" i="2"/>
  <c r="L622" i="2"/>
  <c r="G431" i="2"/>
  <c r="L231" i="2"/>
  <c r="G260" i="2"/>
  <c r="L260" i="2"/>
  <c r="E494" i="2"/>
  <c r="J494" i="2" s="1"/>
  <c r="H494" i="2"/>
  <c r="I494" i="2" s="1"/>
  <c r="H349" i="2"/>
  <c r="I349" i="2" s="1"/>
  <c r="G502" i="2"/>
  <c r="L502" i="2"/>
  <c r="H622" i="2"/>
  <c r="I622" i="2" s="1"/>
  <c r="E622" i="2"/>
  <c r="H438" i="2"/>
  <c r="I438" i="2" s="1"/>
  <c r="E438" i="2"/>
  <c r="J438" i="2" s="1"/>
  <c r="E486" i="2"/>
  <c r="J486" i="2" s="1"/>
  <c r="L3" i="2"/>
  <c r="L4" i="2" s="1"/>
  <c r="L5" i="2" s="1"/>
  <c r="L6" i="2" s="1"/>
  <c r="L7" i="2" s="1"/>
  <c r="L8" i="2" s="1"/>
  <c r="K3" i="2"/>
  <c r="K4" i="2" s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G67" i="2"/>
  <c r="L67" i="2"/>
  <c r="L68" i="2" s="1"/>
  <c r="L69" i="2" s="1"/>
  <c r="L70" i="2" s="1"/>
  <c r="L71" i="2" s="1"/>
  <c r="L72" i="2" s="1"/>
  <c r="L73" i="2" s="1"/>
  <c r="L74" i="2" s="1"/>
  <c r="L75" i="2" s="1"/>
  <c r="L303" i="2"/>
  <c r="G303" i="2"/>
  <c r="G515" i="2"/>
  <c r="L515" i="2"/>
  <c r="L627" i="2"/>
  <c r="G627" i="2"/>
  <c r="H566" i="2"/>
  <c r="I566" i="2" s="1"/>
  <c r="E566" i="2"/>
  <c r="G530" i="2"/>
  <c r="E405" i="2"/>
  <c r="J405" i="2" s="1"/>
  <c r="E437" i="2"/>
  <c r="J437" i="2" s="1"/>
  <c r="E453" i="2"/>
  <c r="J453" i="2" s="1"/>
  <c r="J366" i="2"/>
  <c r="H498" i="2"/>
  <c r="I498" i="2" s="1"/>
  <c r="L461" i="2"/>
  <c r="L462" i="2" s="1"/>
  <c r="L463" i="2" s="1"/>
  <c r="L464" i="2" s="1"/>
  <c r="L465" i="2" s="1"/>
  <c r="L466" i="2" s="1"/>
  <c r="L467" i="2" s="1"/>
  <c r="L468" i="2" s="1"/>
  <c r="L469" i="2" s="1"/>
  <c r="L470" i="2" s="1"/>
  <c r="L471" i="2" s="1"/>
  <c r="G545" i="2"/>
  <c r="G3" i="2"/>
  <c r="E558" i="2"/>
  <c r="G430" i="2"/>
  <c r="L176" i="2"/>
  <c r="G176" i="2"/>
  <c r="L420" i="2"/>
  <c r="L421" i="2" s="1"/>
  <c r="L422" i="2" s="1"/>
  <c r="L423" i="2" s="1"/>
  <c r="L424" i="2" s="1"/>
  <c r="L425" i="2" s="1"/>
  <c r="L426" i="2" s="1"/>
  <c r="L427" i="2" s="1"/>
  <c r="L428" i="2" s="1"/>
  <c r="L429" i="2" s="1"/>
  <c r="G420" i="2"/>
  <c r="L500" i="2"/>
  <c r="G500" i="2"/>
  <c r="L548" i="2"/>
  <c r="G548" i="2"/>
  <c r="L580" i="2"/>
  <c r="G580" i="2"/>
  <c r="E588" i="2"/>
  <c r="H588" i="2"/>
  <c r="I588" i="2" s="1"/>
  <c r="L596" i="2"/>
  <c r="G596" i="2"/>
  <c r="H398" i="2"/>
  <c r="I398" i="2" s="1"/>
  <c r="E398" i="2"/>
  <c r="J398" i="2" s="1"/>
  <c r="E462" i="2"/>
  <c r="J462" i="2" s="1"/>
  <c r="H462" i="2"/>
  <c r="I462" i="2" s="1"/>
  <c r="H538" i="2"/>
  <c r="I538" i="2" s="1"/>
  <c r="E538" i="2"/>
  <c r="J538" i="2" s="1"/>
  <c r="L261" i="2"/>
  <c r="G261" i="2"/>
  <c r="H497" i="2"/>
  <c r="I497" i="2" s="1"/>
  <c r="E497" i="2"/>
  <c r="J497" i="2" s="1"/>
  <c r="E426" i="2"/>
  <c r="J426" i="2" s="1"/>
  <c r="H426" i="2"/>
  <c r="I426" i="2" s="1"/>
  <c r="E146" i="2"/>
  <c r="J146" i="2" s="1"/>
  <c r="H146" i="2"/>
  <c r="I146" i="2" s="1"/>
  <c r="L618" i="2"/>
  <c r="G618" i="2"/>
  <c r="E115" i="2"/>
  <c r="J115" i="2" s="1"/>
  <c r="L319" i="2"/>
  <c r="G319" i="2"/>
  <c r="E327" i="2"/>
  <c r="J327" i="2" s="1"/>
  <c r="H327" i="2"/>
  <c r="I327" i="2" s="1"/>
  <c r="H331" i="2"/>
  <c r="I331" i="2" s="1"/>
  <c r="E331" i="2"/>
  <c r="J331" i="2" s="1"/>
  <c r="H482" i="2"/>
  <c r="I482" i="2" s="1"/>
  <c r="E482" i="2"/>
  <c r="J482" i="2" s="1"/>
  <c r="H554" i="2"/>
  <c r="I554" i="2" s="1"/>
  <c r="E554" i="2"/>
  <c r="H207" i="2"/>
  <c r="I207" i="2" s="1"/>
  <c r="G55" i="2"/>
  <c r="G418" i="2"/>
  <c r="G487" i="2"/>
  <c r="G599" i="2"/>
  <c r="E287" i="2"/>
  <c r="J287" i="2" s="1"/>
  <c r="E249" i="2"/>
  <c r="J249" i="2" s="1"/>
  <c r="H421" i="2"/>
  <c r="I421" i="2" s="1"/>
  <c r="E317" i="2"/>
  <c r="J317" i="2" s="1"/>
  <c r="E381" i="2"/>
  <c r="J381" i="2" s="1"/>
  <c r="L605" i="2"/>
  <c r="G624" i="2"/>
  <c r="E481" i="2"/>
  <c r="J481" i="2" s="1"/>
  <c r="E521" i="2"/>
  <c r="J521" i="2" s="1"/>
  <c r="E553" i="2"/>
  <c r="E585" i="2"/>
  <c r="E617" i="2"/>
  <c r="G274" i="2"/>
  <c r="G56" i="2"/>
  <c r="G232" i="2"/>
  <c r="L365" i="2"/>
  <c r="L366" i="2" s="1"/>
  <c r="L367" i="2" s="1"/>
  <c r="L368" i="2" s="1"/>
  <c r="L369" i="2" s="1"/>
  <c r="L370" i="2" s="1"/>
  <c r="L371" i="2" s="1"/>
  <c r="L372" i="2" s="1"/>
  <c r="L373" i="2" s="1"/>
  <c r="L393" i="2"/>
  <c r="L394" i="2" s="1"/>
  <c r="L395" i="2" s="1"/>
  <c r="L396" i="2" s="1"/>
  <c r="L397" i="2" s="1"/>
  <c r="L398" i="2" s="1"/>
  <c r="L399" i="2" s="1"/>
  <c r="L400" i="2" s="1"/>
  <c r="L401" i="2" s="1"/>
  <c r="G460" i="2"/>
  <c r="G476" i="2"/>
  <c r="G572" i="2"/>
  <c r="L361" i="2"/>
  <c r="G547" i="2"/>
  <c r="J129" i="2"/>
  <c r="E442" i="2"/>
  <c r="J442" i="2" s="1"/>
  <c r="G193" i="2"/>
  <c r="L221" i="2"/>
  <c r="L222" i="2" s="1"/>
  <c r="L223" i="2" s="1"/>
  <c r="L224" i="2" s="1"/>
  <c r="L225" i="2" s="1"/>
  <c r="L226" i="2" s="1"/>
  <c r="L227" i="2" s="1"/>
  <c r="L228" i="2" s="1"/>
  <c r="L229" i="2" s="1"/>
  <c r="L230" i="2" s="1"/>
  <c r="L489" i="2"/>
  <c r="L557" i="2"/>
  <c r="L593" i="2"/>
  <c r="G621" i="2"/>
  <c r="L473" i="2"/>
  <c r="G516" i="2"/>
  <c r="G608" i="2"/>
  <c r="L432" i="2"/>
  <c r="E501" i="2"/>
  <c r="J501" i="2" s="1"/>
  <c r="E131" i="2"/>
  <c r="J131" i="2" s="1"/>
  <c r="E485" i="2"/>
  <c r="J485" i="2" s="1"/>
  <c r="E533" i="2"/>
  <c r="J533" i="2" s="1"/>
  <c r="E581" i="2"/>
  <c r="E66" i="2"/>
  <c r="J66" i="2" s="1"/>
  <c r="E198" i="2"/>
  <c r="J198" i="2" s="1"/>
  <c r="E354" i="2"/>
  <c r="J354" i="2" s="1"/>
  <c r="G446" i="2"/>
  <c r="G510" i="2"/>
  <c r="G570" i="2"/>
  <c r="H19" i="2"/>
  <c r="I19" i="2" s="1"/>
  <c r="E614" i="2"/>
  <c r="E446" i="2"/>
  <c r="J446" i="2" s="1"/>
  <c r="G233" i="2"/>
  <c r="L233" i="2"/>
  <c r="G163" i="2"/>
  <c r="L163" i="2"/>
  <c r="L164" i="2" s="1"/>
  <c r="L165" i="2" s="1"/>
  <c r="L166" i="2" s="1"/>
  <c r="L167" i="2" s="1"/>
  <c r="L168" i="2" s="1"/>
  <c r="L169" i="2" s="1"/>
  <c r="L170" i="2" s="1"/>
  <c r="L171" i="2" s="1"/>
  <c r="L172" i="2" s="1"/>
  <c r="L173" i="2" s="1"/>
  <c r="L335" i="2"/>
  <c r="L336" i="2" s="1"/>
  <c r="L337" i="2" s="1"/>
  <c r="L338" i="2" s="1"/>
  <c r="L339" i="2" s="1"/>
  <c r="L340" i="2" s="1"/>
  <c r="L341" i="2" s="1"/>
  <c r="L342" i="2" s="1"/>
  <c r="L343" i="2" s="1"/>
  <c r="L344" i="2" s="1"/>
  <c r="L345" i="2" s="1"/>
  <c r="G335" i="2"/>
  <c r="H355" i="2"/>
  <c r="I355" i="2" s="1"/>
  <c r="J355" i="2"/>
  <c r="L407" i="2"/>
  <c r="L408" i="2" s="1"/>
  <c r="L409" i="2" s="1"/>
  <c r="L410" i="2" s="1"/>
  <c r="L411" i="2" s="1"/>
  <c r="L412" i="2" s="1"/>
  <c r="L413" i="2" s="1"/>
  <c r="L414" i="2" s="1"/>
  <c r="L415" i="2" s="1"/>
  <c r="H514" i="2"/>
  <c r="I514" i="2" s="1"/>
  <c r="E514" i="2"/>
  <c r="J514" i="2" s="1"/>
  <c r="G626" i="2"/>
  <c r="G620" i="2"/>
  <c r="H77" i="2"/>
  <c r="I77" i="2" s="1"/>
  <c r="H201" i="2"/>
  <c r="I201" i="2" s="1"/>
  <c r="H625" i="2"/>
  <c r="I625" i="2" s="1"/>
  <c r="E625" i="2"/>
  <c r="G284" i="2"/>
  <c r="L591" i="2"/>
  <c r="G591" i="2"/>
  <c r="L607" i="2"/>
  <c r="G607" i="2"/>
  <c r="G378" i="2"/>
  <c r="G263" i="2"/>
  <c r="G391" i="2"/>
  <c r="G551" i="2"/>
  <c r="H486" i="2"/>
  <c r="I486" i="2" s="1"/>
  <c r="G291" i="2"/>
  <c r="G574" i="2"/>
  <c r="E299" i="2"/>
  <c r="J299" i="2" s="1"/>
  <c r="J478" i="2"/>
  <c r="J19" i="2"/>
  <c r="H281" i="2"/>
  <c r="I281" i="2" s="1"/>
  <c r="H272" i="2"/>
  <c r="I272" i="2" s="1"/>
  <c r="E506" i="2"/>
  <c r="J506" i="2" s="1"/>
  <c r="E570" i="2"/>
  <c r="H129" i="2"/>
  <c r="I129" i="2" s="1"/>
  <c r="E349" i="2"/>
  <c r="J349" i="2" s="1"/>
  <c r="L161" i="2"/>
  <c r="L321" i="2"/>
  <c r="L322" i="2" s="1"/>
  <c r="L323" i="2" s="1"/>
  <c r="L324" i="2" s="1"/>
  <c r="L325" i="2" s="1"/>
  <c r="L326" i="2" s="1"/>
  <c r="L327" i="2" s="1"/>
  <c r="L328" i="2" s="1"/>
  <c r="L329" i="2" s="1"/>
  <c r="L330" i="2" s="1"/>
  <c r="L331" i="2" s="1"/>
  <c r="G529" i="2"/>
  <c r="L561" i="2"/>
  <c r="L573" i="2"/>
  <c r="L613" i="2"/>
  <c r="L629" i="2"/>
  <c r="L556" i="2"/>
  <c r="G559" i="2"/>
  <c r="G363" i="2"/>
  <c r="E583" i="2"/>
  <c r="G532" i="2"/>
  <c r="G388" i="2"/>
  <c r="E14" i="2"/>
  <c r="J14" i="2" s="1"/>
  <c r="E469" i="2"/>
  <c r="J469" i="2" s="1"/>
  <c r="E597" i="2"/>
  <c r="H98" i="2"/>
  <c r="I98" i="2" s="1"/>
  <c r="H242" i="2"/>
  <c r="I242" i="2" s="1"/>
  <c r="H366" i="2"/>
  <c r="I366" i="2" s="1"/>
  <c r="G458" i="2"/>
  <c r="L578" i="2"/>
  <c r="H115" i="2"/>
  <c r="I115" i="2" s="1"/>
  <c r="L567" i="2"/>
  <c r="L188" i="2"/>
  <c r="E510" i="2"/>
  <c r="J510" i="2" s="1"/>
  <c r="H510" i="2"/>
  <c r="I510" i="2" s="1"/>
  <c r="H541" i="2"/>
  <c r="I541" i="2" s="1"/>
  <c r="E541" i="2"/>
  <c r="J541" i="2" s="1"/>
  <c r="E574" i="2"/>
  <c r="H574" i="2"/>
  <c r="I574" i="2" s="1"/>
  <c r="L203" i="2"/>
  <c r="G203" i="2"/>
  <c r="G435" i="2"/>
  <c r="L587" i="2"/>
  <c r="G587" i="2"/>
  <c r="H450" i="2"/>
  <c r="I450" i="2" s="1"/>
  <c r="E450" i="2"/>
  <c r="J450" i="2" s="1"/>
  <c r="G192" i="2"/>
  <c r="G625" i="2"/>
  <c r="L625" i="2"/>
  <c r="E613" i="2"/>
  <c r="G320" i="2"/>
  <c r="L104" i="2"/>
  <c r="G292" i="2"/>
  <c r="E30" i="2"/>
  <c r="J30" i="2" s="1"/>
  <c r="G612" i="2"/>
  <c r="H546" i="2"/>
  <c r="I546" i="2" s="1"/>
  <c r="H20" i="2"/>
  <c r="I20" i="2" s="1"/>
  <c r="E20" i="2"/>
  <c r="J20" i="2" s="1"/>
  <c r="H71" i="2"/>
  <c r="I71" i="2" s="1"/>
  <c r="E71" i="2"/>
  <c r="J71" i="2" s="1"/>
  <c r="H113" i="2"/>
  <c r="I113" i="2" s="1"/>
  <c r="E113" i="2"/>
  <c r="J113" i="2" s="1"/>
  <c r="H156" i="2"/>
  <c r="I156" i="2" s="1"/>
  <c r="E156" i="2"/>
  <c r="J156" i="2" s="1"/>
  <c r="E184" i="2"/>
  <c r="J184" i="2" s="1"/>
  <c r="H184" i="2"/>
  <c r="I184" i="2" s="1"/>
  <c r="H208" i="2"/>
  <c r="I208" i="2" s="1"/>
  <c r="E208" i="2"/>
  <c r="J208" i="2" s="1"/>
  <c r="H235" i="2"/>
  <c r="I235" i="2" s="1"/>
  <c r="E235" i="2"/>
  <c r="J235" i="2" s="1"/>
  <c r="H256" i="2"/>
  <c r="I256" i="2" s="1"/>
  <c r="E256" i="2"/>
  <c r="J256" i="2" s="1"/>
  <c r="H283" i="2"/>
  <c r="I283" i="2" s="1"/>
  <c r="E283" i="2"/>
  <c r="J283" i="2" s="1"/>
  <c r="H320" i="2"/>
  <c r="I320" i="2" s="1"/>
  <c r="E320" i="2"/>
  <c r="J320" i="2" s="1"/>
  <c r="H347" i="2"/>
  <c r="I347" i="2" s="1"/>
  <c r="E347" i="2"/>
  <c r="J347" i="2" s="1"/>
  <c r="H368" i="2"/>
  <c r="I368" i="2" s="1"/>
  <c r="E368" i="2"/>
  <c r="J368" i="2" s="1"/>
  <c r="H389" i="2"/>
  <c r="I389" i="2" s="1"/>
  <c r="E389" i="2"/>
  <c r="J389" i="2" s="1"/>
  <c r="H411" i="2"/>
  <c r="I411" i="2" s="1"/>
  <c r="E411" i="2"/>
  <c r="J411" i="2" s="1"/>
  <c r="H431" i="2"/>
  <c r="I431" i="2" s="1"/>
  <c r="E431" i="2"/>
  <c r="J431" i="2" s="1"/>
  <c r="H447" i="2"/>
  <c r="I447" i="2" s="1"/>
  <c r="E447" i="2"/>
  <c r="J447" i="2" s="1"/>
  <c r="E471" i="2"/>
  <c r="J471" i="2" s="1"/>
  <c r="H471" i="2"/>
  <c r="I471" i="2" s="1"/>
  <c r="E499" i="2"/>
  <c r="J499" i="2" s="1"/>
  <c r="H499" i="2"/>
  <c r="I499" i="2" s="1"/>
  <c r="E523" i="2"/>
  <c r="J523" i="2" s="1"/>
  <c r="H523" i="2"/>
  <c r="I523" i="2" s="1"/>
  <c r="H543" i="2"/>
  <c r="I543" i="2" s="1"/>
  <c r="E543" i="2"/>
  <c r="E567" i="2"/>
  <c r="H567" i="2"/>
  <c r="I567" i="2" s="1"/>
  <c r="E587" i="2"/>
  <c r="H587" i="2"/>
  <c r="I587" i="2" s="1"/>
  <c r="H607" i="2"/>
  <c r="I607" i="2" s="1"/>
  <c r="E607" i="2"/>
  <c r="E3" i="2"/>
  <c r="J3" i="2" s="1"/>
  <c r="H3" i="2"/>
  <c r="I3" i="2" s="1"/>
  <c r="L9" i="2"/>
  <c r="G9" i="2"/>
  <c r="L17" i="2"/>
  <c r="G17" i="2"/>
  <c r="L33" i="2"/>
  <c r="G33" i="2"/>
  <c r="G49" i="2"/>
  <c r="L49" i="2"/>
  <c r="G57" i="2"/>
  <c r="L57" i="2"/>
  <c r="L58" i="2" s="1"/>
  <c r="L59" i="2" s="1"/>
  <c r="L60" i="2" s="1"/>
  <c r="L61" i="2" s="1"/>
  <c r="L105" i="2"/>
  <c r="L106" i="2" s="1"/>
  <c r="L107" i="2" s="1"/>
  <c r="L108" i="2" s="1"/>
  <c r="L109" i="2" s="1"/>
  <c r="L110" i="2" s="1"/>
  <c r="L111" i="2" s="1"/>
  <c r="L112" i="2" s="1"/>
  <c r="L113" i="2" s="1"/>
  <c r="L114" i="2" s="1"/>
  <c r="L115" i="2" s="1"/>
  <c r="L116" i="2" s="1"/>
  <c r="L117" i="2" s="1"/>
  <c r="G105" i="2"/>
  <c r="G121" i="2"/>
  <c r="L121" i="2"/>
  <c r="G39" i="2"/>
  <c r="L39" i="2"/>
  <c r="L79" i="2"/>
  <c r="G79" i="2"/>
  <c r="L191" i="2"/>
  <c r="L192" i="2" s="1"/>
  <c r="L193" i="2" s="1"/>
  <c r="L194" i="2" s="1"/>
  <c r="L195" i="2" s="1"/>
  <c r="L196" i="2" s="1"/>
  <c r="L197" i="2" s="1"/>
  <c r="L198" i="2" s="1"/>
  <c r="L199" i="2" s="1"/>
  <c r="L200" i="2" s="1"/>
  <c r="L201" i="2" s="1"/>
  <c r="L202" i="2" s="1"/>
  <c r="G191" i="2"/>
  <c r="H212" i="2"/>
  <c r="I212" i="2" s="1"/>
  <c r="E212" i="2"/>
  <c r="J212" i="2" s="1"/>
  <c r="H4" i="2"/>
  <c r="I4" i="2" s="1"/>
  <c r="E4" i="2"/>
  <c r="J4" i="2" s="1"/>
  <c r="H16" i="2"/>
  <c r="I16" i="2" s="1"/>
  <c r="E16" i="2"/>
  <c r="J16" i="2" s="1"/>
  <c r="H64" i="2"/>
  <c r="I64" i="2" s="1"/>
  <c r="E64" i="2"/>
  <c r="J64" i="2" s="1"/>
  <c r="H96" i="2"/>
  <c r="I96" i="2" s="1"/>
  <c r="E96" i="2"/>
  <c r="J96" i="2" s="1"/>
  <c r="H116" i="2"/>
  <c r="I116" i="2" s="1"/>
  <c r="E116" i="2"/>
  <c r="J116" i="2" s="1"/>
  <c r="H144" i="2"/>
  <c r="I144" i="2" s="1"/>
  <c r="E144" i="2"/>
  <c r="J144" i="2" s="1"/>
  <c r="L34" i="2"/>
  <c r="G34" i="2"/>
  <c r="L262" i="2"/>
  <c r="L263" i="2" s="1"/>
  <c r="L264" i="2" s="1"/>
  <c r="L265" i="2" s="1"/>
  <c r="L266" i="2" s="1"/>
  <c r="L267" i="2" s="1"/>
  <c r="L268" i="2" s="1"/>
  <c r="L269" i="2" s="1"/>
  <c r="L270" i="2" s="1"/>
  <c r="L271" i="2" s="1"/>
  <c r="L272" i="2" s="1"/>
  <c r="L273" i="2" s="1"/>
  <c r="G262" i="2"/>
  <c r="L611" i="2"/>
  <c r="G611" i="2"/>
  <c r="H61" i="2"/>
  <c r="I61" i="2" s="1"/>
  <c r="E61" i="2"/>
  <c r="J61" i="2" s="1"/>
  <c r="H104" i="2"/>
  <c r="I104" i="2" s="1"/>
  <c r="E104" i="2"/>
  <c r="J104" i="2" s="1"/>
  <c r="H157" i="2"/>
  <c r="I157" i="2" s="1"/>
  <c r="E157" i="2"/>
  <c r="J157" i="2" s="1"/>
  <c r="H187" i="2"/>
  <c r="I187" i="2" s="1"/>
  <c r="E187" i="2"/>
  <c r="J187" i="2" s="1"/>
  <c r="H209" i="2"/>
  <c r="I209" i="2" s="1"/>
  <c r="E209" i="2"/>
  <c r="J209" i="2" s="1"/>
  <c r="H231" i="2"/>
  <c r="I231" i="2" s="1"/>
  <c r="E231" i="2"/>
  <c r="J231" i="2" s="1"/>
  <c r="H252" i="2"/>
  <c r="I252" i="2" s="1"/>
  <c r="E252" i="2"/>
  <c r="J252" i="2" s="1"/>
  <c r="H273" i="2"/>
  <c r="I273" i="2" s="1"/>
  <c r="E273" i="2"/>
  <c r="J273" i="2" s="1"/>
  <c r="H295" i="2"/>
  <c r="I295" i="2" s="1"/>
  <c r="E295" i="2"/>
  <c r="J295" i="2" s="1"/>
  <c r="H316" i="2"/>
  <c r="I316" i="2" s="1"/>
  <c r="E316" i="2"/>
  <c r="J316" i="2" s="1"/>
  <c r="H343" i="2"/>
  <c r="I343" i="2" s="1"/>
  <c r="E343" i="2"/>
  <c r="J343" i="2" s="1"/>
  <c r="H364" i="2"/>
  <c r="I364" i="2" s="1"/>
  <c r="E364" i="2"/>
  <c r="J364" i="2" s="1"/>
  <c r="H385" i="2"/>
  <c r="I385" i="2" s="1"/>
  <c r="E385" i="2"/>
  <c r="J385" i="2" s="1"/>
  <c r="H404" i="2"/>
  <c r="I404" i="2" s="1"/>
  <c r="E404" i="2"/>
  <c r="J404" i="2" s="1"/>
  <c r="H420" i="2"/>
  <c r="I420" i="2" s="1"/>
  <c r="E420" i="2"/>
  <c r="J420" i="2" s="1"/>
  <c r="H436" i="2"/>
  <c r="I436" i="2" s="1"/>
  <c r="E436" i="2"/>
  <c r="J436" i="2" s="1"/>
  <c r="H452" i="2"/>
  <c r="I452" i="2" s="1"/>
  <c r="E452" i="2"/>
  <c r="J452" i="2" s="1"/>
  <c r="H468" i="2"/>
  <c r="I468" i="2" s="1"/>
  <c r="E468" i="2"/>
  <c r="J468" i="2" s="1"/>
  <c r="H484" i="2"/>
  <c r="I484" i="2" s="1"/>
  <c r="E484" i="2"/>
  <c r="J484" i="2" s="1"/>
  <c r="E508" i="2"/>
  <c r="J508" i="2" s="1"/>
  <c r="H508" i="2"/>
  <c r="I508" i="2" s="1"/>
  <c r="E524" i="2"/>
  <c r="J524" i="2" s="1"/>
  <c r="H524" i="2"/>
  <c r="I524" i="2" s="1"/>
  <c r="E540" i="2"/>
  <c r="J540" i="2" s="1"/>
  <c r="H540" i="2"/>
  <c r="I540" i="2" s="1"/>
  <c r="E556" i="2"/>
  <c r="H556" i="2"/>
  <c r="I556" i="2" s="1"/>
  <c r="H580" i="2"/>
  <c r="I580" i="2" s="1"/>
  <c r="E580" i="2"/>
  <c r="E600" i="2"/>
  <c r="H600" i="2"/>
  <c r="I600" i="2" s="1"/>
  <c r="E620" i="2"/>
  <c r="H620" i="2"/>
  <c r="I620" i="2" s="1"/>
  <c r="L10" i="2"/>
  <c r="L11" i="2" s="1"/>
  <c r="G10" i="2"/>
  <c r="G26" i="2"/>
  <c r="G46" i="2"/>
  <c r="L62" i="2"/>
  <c r="G62" i="2"/>
  <c r="H82" i="2"/>
  <c r="I82" i="2" s="1"/>
  <c r="E82" i="2"/>
  <c r="J82" i="2" s="1"/>
  <c r="G90" i="2"/>
  <c r="L118" i="2"/>
  <c r="G118" i="2"/>
  <c r="G126" i="2"/>
  <c r="G138" i="2"/>
  <c r="G150" i="2"/>
  <c r="H166" i="2"/>
  <c r="I166" i="2" s="1"/>
  <c r="E166" i="2"/>
  <c r="J166" i="2" s="1"/>
  <c r="L174" i="2"/>
  <c r="G174" i="2"/>
  <c r="G190" i="2"/>
  <c r="L190" i="2"/>
  <c r="G222" i="2"/>
  <c r="L234" i="2"/>
  <c r="L235" i="2" s="1"/>
  <c r="L236" i="2" s="1"/>
  <c r="L237" i="2" s="1"/>
  <c r="L238" i="2" s="1"/>
  <c r="L239" i="2" s="1"/>
  <c r="L240" i="2" s="1"/>
  <c r="L241" i="2" s="1"/>
  <c r="L242" i="2" s="1"/>
  <c r="L243" i="2" s="1"/>
  <c r="L244" i="2" s="1"/>
  <c r="G234" i="2"/>
  <c r="G250" i="2"/>
  <c r="L258" i="2"/>
  <c r="L259" i="2" s="1"/>
  <c r="G258" i="2"/>
  <c r="L290" i="2"/>
  <c r="G290" i="2"/>
  <c r="H306" i="2"/>
  <c r="I306" i="2" s="1"/>
  <c r="E306" i="2"/>
  <c r="J306" i="2" s="1"/>
  <c r="G314" i="2"/>
  <c r="G322" i="2"/>
  <c r="H338" i="2"/>
  <c r="I338" i="2" s="1"/>
  <c r="E338" i="2"/>
  <c r="J338" i="2" s="1"/>
  <c r="H358" i="2"/>
  <c r="I358" i="2" s="1"/>
  <c r="E358" i="2"/>
  <c r="J358" i="2" s="1"/>
  <c r="H370" i="2"/>
  <c r="I370" i="2" s="1"/>
  <c r="E370" i="2"/>
  <c r="J370" i="2" s="1"/>
  <c r="H390" i="2"/>
  <c r="I390" i="2" s="1"/>
  <c r="E390" i="2"/>
  <c r="J390" i="2" s="1"/>
  <c r="G395" i="2"/>
  <c r="L503" i="2"/>
  <c r="L504" i="2" s="1"/>
  <c r="L505" i="2" s="1"/>
  <c r="L506" i="2" s="1"/>
  <c r="L507" i="2" s="1"/>
  <c r="L508" i="2" s="1"/>
  <c r="L509" i="2" s="1"/>
  <c r="L510" i="2" s="1"/>
  <c r="L511" i="2" s="1"/>
  <c r="L512" i="2" s="1"/>
  <c r="L513" i="2" s="1"/>
  <c r="L514" i="2" s="1"/>
  <c r="G503" i="2"/>
  <c r="L603" i="2"/>
  <c r="G603" i="2"/>
  <c r="H55" i="2"/>
  <c r="I55" i="2" s="1"/>
  <c r="E55" i="2"/>
  <c r="J55" i="2" s="1"/>
  <c r="H119" i="2"/>
  <c r="I119" i="2" s="1"/>
  <c r="E119" i="2"/>
  <c r="J119" i="2" s="1"/>
  <c r="H167" i="2"/>
  <c r="I167" i="2" s="1"/>
  <c r="E167" i="2"/>
  <c r="J167" i="2" s="1"/>
  <c r="E211" i="2"/>
  <c r="J211" i="2" s="1"/>
  <c r="H211" i="2"/>
  <c r="I211" i="2" s="1"/>
  <c r="H243" i="2"/>
  <c r="I243" i="2" s="1"/>
  <c r="E243" i="2"/>
  <c r="J243" i="2" s="1"/>
  <c r="H275" i="2"/>
  <c r="I275" i="2" s="1"/>
  <c r="E275" i="2"/>
  <c r="J275" i="2" s="1"/>
  <c r="H307" i="2"/>
  <c r="I307" i="2" s="1"/>
  <c r="E307" i="2"/>
  <c r="J307" i="2" s="1"/>
  <c r="H339" i="2"/>
  <c r="I339" i="2" s="1"/>
  <c r="E339" i="2"/>
  <c r="J339" i="2" s="1"/>
  <c r="H376" i="2"/>
  <c r="I376" i="2" s="1"/>
  <c r="E376" i="2"/>
  <c r="J376" i="2" s="1"/>
  <c r="L31" i="2"/>
  <c r="G31" i="2"/>
  <c r="G59" i="2"/>
  <c r="G91" i="2"/>
  <c r="G107" i="2"/>
  <c r="G127" i="2"/>
  <c r="L175" i="2"/>
  <c r="G175" i="2"/>
  <c r="H88" i="2"/>
  <c r="I88" i="2" s="1"/>
  <c r="E88" i="2"/>
  <c r="J88" i="2" s="1"/>
  <c r="H196" i="2"/>
  <c r="I196" i="2" s="1"/>
  <c r="E196" i="2"/>
  <c r="J196" i="2" s="1"/>
  <c r="H292" i="2"/>
  <c r="I292" i="2" s="1"/>
  <c r="E292" i="2"/>
  <c r="J292" i="2" s="1"/>
  <c r="H388" i="2"/>
  <c r="I388" i="2" s="1"/>
  <c r="E388" i="2"/>
  <c r="J388" i="2" s="1"/>
  <c r="L28" i="2"/>
  <c r="G28" i="2"/>
  <c r="G40" i="2"/>
  <c r="L40" i="2"/>
  <c r="L41" i="2" s="1"/>
  <c r="L42" i="2" s="1"/>
  <c r="L43" i="2" s="1"/>
  <c r="L148" i="2"/>
  <c r="L149" i="2" s="1"/>
  <c r="L150" i="2" s="1"/>
  <c r="L151" i="2" s="1"/>
  <c r="L152" i="2" s="1"/>
  <c r="L153" i="2" s="1"/>
  <c r="L154" i="2" s="1"/>
  <c r="L155" i="2" s="1"/>
  <c r="L156" i="2" s="1"/>
  <c r="L157" i="2" s="1"/>
  <c r="L158" i="2" s="1"/>
  <c r="L159" i="2" s="1"/>
  <c r="G148" i="2"/>
  <c r="H35" i="2"/>
  <c r="I35" i="2" s="1"/>
  <c r="E35" i="2"/>
  <c r="J35" i="2" s="1"/>
  <c r="H81" i="2"/>
  <c r="I81" i="2" s="1"/>
  <c r="E81" i="2"/>
  <c r="J81" i="2" s="1"/>
  <c r="H124" i="2"/>
  <c r="I124" i="2" s="1"/>
  <c r="E124" i="2"/>
  <c r="J124" i="2" s="1"/>
  <c r="H163" i="2"/>
  <c r="I163" i="2" s="1"/>
  <c r="E163" i="2"/>
  <c r="J163" i="2" s="1"/>
  <c r="H192" i="2"/>
  <c r="I192" i="2" s="1"/>
  <c r="E192" i="2"/>
  <c r="J192" i="2" s="1"/>
  <c r="H213" i="2"/>
  <c r="I213" i="2" s="1"/>
  <c r="E213" i="2"/>
  <c r="J213" i="2" s="1"/>
  <c r="H240" i="2"/>
  <c r="I240" i="2" s="1"/>
  <c r="E240" i="2"/>
  <c r="J240" i="2" s="1"/>
  <c r="H261" i="2"/>
  <c r="I261" i="2" s="1"/>
  <c r="E261" i="2"/>
  <c r="J261" i="2" s="1"/>
  <c r="H293" i="2"/>
  <c r="I293" i="2" s="1"/>
  <c r="E293" i="2"/>
  <c r="J293" i="2" s="1"/>
  <c r="H325" i="2"/>
  <c r="I325" i="2" s="1"/>
  <c r="E325" i="2"/>
  <c r="J325" i="2" s="1"/>
  <c r="H352" i="2"/>
  <c r="I352" i="2" s="1"/>
  <c r="E352" i="2"/>
  <c r="J352" i="2" s="1"/>
  <c r="H373" i="2"/>
  <c r="I373" i="2" s="1"/>
  <c r="E373" i="2"/>
  <c r="J373" i="2" s="1"/>
  <c r="H399" i="2"/>
  <c r="I399" i="2" s="1"/>
  <c r="E399" i="2"/>
  <c r="J399" i="2" s="1"/>
  <c r="H415" i="2"/>
  <c r="I415" i="2" s="1"/>
  <c r="E415" i="2"/>
  <c r="J415" i="2" s="1"/>
  <c r="E435" i="2"/>
  <c r="J435" i="2" s="1"/>
  <c r="H435" i="2"/>
  <c r="I435" i="2" s="1"/>
  <c r="E455" i="2"/>
  <c r="J455" i="2" s="1"/>
  <c r="H455" i="2"/>
  <c r="I455" i="2" s="1"/>
  <c r="H479" i="2"/>
  <c r="I479" i="2" s="1"/>
  <c r="E479" i="2"/>
  <c r="J479" i="2" s="1"/>
  <c r="E507" i="2"/>
  <c r="J507" i="2" s="1"/>
  <c r="H507" i="2"/>
  <c r="I507" i="2" s="1"/>
  <c r="H527" i="2"/>
  <c r="I527" i="2" s="1"/>
  <c r="E527" i="2"/>
  <c r="J527" i="2" s="1"/>
  <c r="E551" i="2"/>
  <c r="H551" i="2"/>
  <c r="I551" i="2" s="1"/>
  <c r="E571" i="2"/>
  <c r="H571" i="2"/>
  <c r="I571" i="2" s="1"/>
  <c r="H591" i="2"/>
  <c r="I591" i="2" s="1"/>
  <c r="E591" i="2"/>
  <c r="E615" i="2"/>
  <c r="H615" i="2"/>
  <c r="I615" i="2" s="1"/>
  <c r="E5" i="2"/>
  <c r="J5" i="2" s="1"/>
  <c r="H5" i="2"/>
  <c r="I5" i="2" s="1"/>
  <c r="H13" i="2"/>
  <c r="I13" i="2" s="1"/>
  <c r="E13" i="2"/>
  <c r="J13" i="2" s="1"/>
  <c r="H21" i="2"/>
  <c r="I21" i="2" s="1"/>
  <c r="E21" i="2"/>
  <c r="J21" i="2" s="1"/>
  <c r="H29" i="2"/>
  <c r="I29" i="2" s="1"/>
  <c r="E29" i="2"/>
  <c r="J29" i="2" s="1"/>
  <c r="H37" i="2"/>
  <c r="I37" i="2" s="1"/>
  <c r="E37" i="2"/>
  <c r="J37" i="2" s="1"/>
  <c r="H45" i="2"/>
  <c r="I45" i="2" s="1"/>
  <c r="E45" i="2"/>
  <c r="J45" i="2" s="1"/>
  <c r="H53" i="2"/>
  <c r="I53" i="2" s="1"/>
  <c r="E53" i="2"/>
  <c r="J53" i="2" s="1"/>
  <c r="H69" i="2"/>
  <c r="I69" i="2" s="1"/>
  <c r="E69" i="2"/>
  <c r="J69" i="2" s="1"/>
  <c r="H85" i="2"/>
  <c r="I85" i="2" s="1"/>
  <c r="E85" i="2"/>
  <c r="J85" i="2" s="1"/>
  <c r="H101" i="2"/>
  <c r="I101" i="2" s="1"/>
  <c r="E101" i="2"/>
  <c r="J101" i="2" s="1"/>
  <c r="H117" i="2"/>
  <c r="I117" i="2" s="1"/>
  <c r="E117" i="2"/>
  <c r="J117" i="2" s="1"/>
  <c r="H133" i="2"/>
  <c r="I133" i="2" s="1"/>
  <c r="E133" i="2"/>
  <c r="J133" i="2" s="1"/>
  <c r="H149" i="2"/>
  <c r="I149" i="2" s="1"/>
  <c r="E149" i="2"/>
  <c r="J149" i="2" s="1"/>
  <c r="H169" i="2"/>
  <c r="I169" i="2" s="1"/>
  <c r="E169" i="2"/>
  <c r="J169" i="2" s="1"/>
  <c r="H7" i="2"/>
  <c r="I7" i="2" s="1"/>
  <c r="E7" i="2"/>
  <c r="J7" i="2" s="1"/>
  <c r="H23" i="2"/>
  <c r="I23" i="2" s="1"/>
  <c r="E23" i="2"/>
  <c r="J23" i="2" s="1"/>
  <c r="H75" i="2"/>
  <c r="I75" i="2" s="1"/>
  <c r="E75" i="2"/>
  <c r="J75" i="2" s="1"/>
  <c r="H111" i="2"/>
  <c r="I111" i="2" s="1"/>
  <c r="E111" i="2"/>
  <c r="J111" i="2" s="1"/>
  <c r="H159" i="2"/>
  <c r="I159" i="2" s="1"/>
  <c r="E159" i="2"/>
  <c r="J159" i="2" s="1"/>
  <c r="L304" i="2"/>
  <c r="G304" i="2"/>
  <c r="H260" i="2"/>
  <c r="I260" i="2" s="1"/>
  <c r="E260" i="2"/>
  <c r="J260" i="2" s="1"/>
  <c r="G4" i="2"/>
  <c r="L16" i="2"/>
  <c r="G16" i="2"/>
  <c r="L64" i="2"/>
  <c r="G64" i="2"/>
  <c r="G98" i="2"/>
  <c r="H8" i="2"/>
  <c r="I8" i="2" s="1"/>
  <c r="E8" i="2"/>
  <c r="J8" i="2" s="1"/>
  <c r="H72" i="2"/>
  <c r="I72" i="2" s="1"/>
  <c r="E72" i="2"/>
  <c r="J72" i="2" s="1"/>
  <c r="H125" i="2"/>
  <c r="I125" i="2" s="1"/>
  <c r="E125" i="2"/>
  <c r="J125" i="2" s="1"/>
  <c r="H165" i="2"/>
  <c r="I165" i="2" s="1"/>
  <c r="E165" i="2"/>
  <c r="J165" i="2" s="1"/>
  <c r="H193" i="2"/>
  <c r="I193" i="2" s="1"/>
  <c r="E193" i="2"/>
  <c r="J193" i="2" s="1"/>
  <c r="H215" i="2"/>
  <c r="I215" i="2" s="1"/>
  <c r="E215" i="2"/>
  <c r="J215" i="2" s="1"/>
  <c r="H236" i="2"/>
  <c r="I236" i="2" s="1"/>
  <c r="E236" i="2"/>
  <c r="J236" i="2" s="1"/>
  <c r="H257" i="2"/>
  <c r="I257" i="2" s="1"/>
  <c r="E257" i="2"/>
  <c r="J257" i="2" s="1"/>
  <c r="H279" i="2"/>
  <c r="I279" i="2" s="1"/>
  <c r="E279" i="2"/>
  <c r="J279" i="2" s="1"/>
  <c r="H300" i="2"/>
  <c r="I300" i="2" s="1"/>
  <c r="E300" i="2"/>
  <c r="J300" i="2" s="1"/>
  <c r="H321" i="2"/>
  <c r="I321" i="2" s="1"/>
  <c r="E321" i="2"/>
  <c r="J321" i="2" s="1"/>
  <c r="H348" i="2"/>
  <c r="I348" i="2" s="1"/>
  <c r="E348" i="2"/>
  <c r="J348" i="2" s="1"/>
  <c r="H369" i="2"/>
  <c r="I369" i="2" s="1"/>
  <c r="E369" i="2"/>
  <c r="J369" i="2" s="1"/>
  <c r="E391" i="2"/>
  <c r="J391" i="2" s="1"/>
  <c r="H391" i="2"/>
  <c r="I391" i="2" s="1"/>
  <c r="H408" i="2"/>
  <c r="I408" i="2" s="1"/>
  <c r="E408" i="2"/>
  <c r="J408" i="2" s="1"/>
  <c r="E424" i="2"/>
  <c r="J424" i="2" s="1"/>
  <c r="H424" i="2"/>
  <c r="I424" i="2" s="1"/>
  <c r="H440" i="2"/>
  <c r="I440" i="2" s="1"/>
  <c r="E440" i="2"/>
  <c r="J440" i="2" s="1"/>
  <c r="E456" i="2"/>
  <c r="J456" i="2" s="1"/>
  <c r="H456" i="2"/>
  <c r="I456" i="2" s="1"/>
  <c r="E472" i="2"/>
  <c r="J472" i="2" s="1"/>
  <c r="H472" i="2"/>
  <c r="I472" i="2" s="1"/>
  <c r="E492" i="2"/>
  <c r="J492" i="2" s="1"/>
  <c r="H492" i="2"/>
  <c r="I492" i="2" s="1"/>
  <c r="H512" i="2"/>
  <c r="I512" i="2" s="1"/>
  <c r="E512" i="2"/>
  <c r="J512" i="2" s="1"/>
  <c r="H528" i="2"/>
  <c r="I528" i="2" s="1"/>
  <c r="E528" i="2"/>
  <c r="J528" i="2" s="1"/>
  <c r="H544" i="2"/>
  <c r="I544" i="2" s="1"/>
  <c r="E544" i="2"/>
  <c r="H564" i="2"/>
  <c r="I564" i="2" s="1"/>
  <c r="E564" i="2"/>
  <c r="E584" i="2"/>
  <c r="H584" i="2"/>
  <c r="I584" i="2" s="1"/>
  <c r="E604" i="2"/>
  <c r="H604" i="2"/>
  <c r="I604" i="2" s="1"/>
  <c r="H624" i="2"/>
  <c r="I624" i="2" s="1"/>
  <c r="E624" i="2"/>
  <c r="L18" i="2"/>
  <c r="G18" i="2"/>
  <c r="H38" i="2"/>
  <c r="I38" i="2" s="1"/>
  <c r="E38" i="2"/>
  <c r="J38" i="2" s="1"/>
  <c r="G50" i="2"/>
  <c r="L50" i="2"/>
  <c r="H58" i="2"/>
  <c r="I58" i="2" s="1"/>
  <c r="E58" i="2"/>
  <c r="J58" i="2" s="1"/>
  <c r="H70" i="2"/>
  <c r="I70" i="2" s="1"/>
  <c r="E70" i="2"/>
  <c r="J70" i="2" s="1"/>
  <c r="E78" i="2"/>
  <c r="J78" i="2" s="1"/>
  <c r="H78" i="2"/>
  <c r="I78" i="2" s="1"/>
  <c r="H86" i="2"/>
  <c r="I86" i="2" s="1"/>
  <c r="E86" i="2"/>
  <c r="J86" i="2" s="1"/>
  <c r="H94" i="2"/>
  <c r="I94" i="2" s="1"/>
  <c r="E94" i="2"/>
  <c r="J94" i="2" s="1"/>
  <c r="H106" i="2"/>
  <c r="I106" i="2" s="1"/>
  <c r="E106" i="2"/>
  <c r="J106" i="2" s="1"/>
  <c r="H122" i="2"/>
  <c r="I122" i="2" s="1"/>
  <c r="E122" i="2"/>
  <c r="J122" i="2" s="1"/>
  <c r="H134" i="2"/>
  <c r="I134" i="2" s="1"/>
  <c r="E134" i="2"/>
  <c r="J134" i="2" s="1"/>
  <c r="H142" i="2"/>
  <c r="I142" i="2" s="1"/>
  <c r="E142" i="2"/>
  <c r="J142" i="2" s="1"/>
  <c r="H154" i="2"/>
  <c r="I154" i="2" s="1"/>
  <c r="E154" i="2"/>
  <c r="J154" i="2" s="1"/>
  <c r="H162" i="2"/>
  <c r="I162" i="2" s="1"/>
  <c r="E162" i="2"/>
  <c r="J162" i="2" s="1"/>
  <c r="H170" i="2"/>
  <c r="I170" i="2" s="1"/>
  <c r="E170" i="2"/>
  <c r="J170" i="2" s="1"/>
  <c r="L178" i="2"/>
  <c r="L179" i="2" s="1"/>
  <c r="L180" i="2" s="1"/>
  <c r="L181" i="2" s="1"/>
  <c r="L182" i="2" s="1"/>
  <c r="L183" i="2" s="1"/>
  <c r="L184" i="2" s="1"/>
  <c r="L185" i="2" s="1"/>
  <c r="L186" i="2" s="1"/>
  <c r="G178" i="2"/>
  <c r="H186" i="2"/>
  <c r="I186" i="2" s="1"/>
  <c r="E186" i="2"/>
  <c r="J186" i="2" s="1"/>
  <c r="H194" i="2"/>
  <c r="I194" i="2" s="1"/>
  <c r="E194" i="2"/>
  <c r="J194" i="2" s="1"/>
  <c r="E206" i="2"/>
  <c r="J206" i="2" s="1"/>
  <c r="H206" i="2"/>
  <c r="I206" i="2" s="1"/>
  <c r="H218" i="2"/>
  <c r="I218" i="2" s="1"/>
  <c r="E218" i="2"/>
  <c r="J218" i="2" s="1"/>
  <c r="H226" i="2"/>
  <c r="I226" i="2" s="1"/>
  <c r="E226" i="2"/>
  <c r="J226" i="2" s="1"/>
  <c r="H238" i="2"/>
  <c r="I238" i="2" s="1"/>
  <c r="E238" i="2"/>
  <c r="J238" i="2" s="1"/>
  <c r="H254" i="2"/>
  <c r="I254" i="2" s="1"/>
  <c r="E254" i="2"/>
  <c r="J254" i="2" s="1"/>
  <c r="H266" i="2"/>
  <c r="I266" i="2" s="1"/>
  <c r="E266" i="2"/>
  <c r="J266" i="2" s="1"/>
  <c r="L278" i="2"/>
  <c r="L279" i="2" s="1"/>
  <c r="L280" i="2" s="1"/>
  <c r="L281" i="2" s="1"/>
  <c r="L282" i="2" s="1"/>
  <c r="G278" i="2"/>
  <c r="H286" i="2"/>
  <c r="I286" i="2" s="1"/>
  <c r="E286" i="2"/>
  <c r="J286" i="2" s="1"/>
  <c r="G294" i="2"/>
  <c r="E302" i="2"/>
  <c r="J302" i="2" s="1"/>
  <c r="H302" i="2"/>
  <c r="I302" i="2" s="1"/>
  <c r="G310" i="2"/>
  <c r="H318" i="2"/>
  <c r="I318" i="2" s="1"/>
  <c r="E318" i="2"/>
  <c r="J318" i="2" s="1"/>
  <c r="G326" i="2"/>
  <c r="E334" i="2"/>
  <c r="J334" i="2" s="1"/>
  <c r="H334" i="2"/>
  <c r="I334" i="2" s="1"/>
  <c r="L350" i="2"/>
  <c r="L351" i="2" s="1"/>
  <c r="L352" i="2" s="1"/>
  <c r="L353" i="2" s="1"/>
  <c r="L354" i="2" s="1"/>
  <c r="L355" i="2" s="1"/>
  <c r="L356" i="2" s="1"/>
  <c r="L357" i="2" s="1"/>
  <c r="L358" i="2" s="1"/>
  <c r="L359" i="2" s="1"/>
  <c r="G350" i="2"/>
  <c r="L362" i="2"/>
  <c r="G362" i="2"/>
  <c r="G394" i="2"/>
  <c r="L459" i="2"/>
  <c r="G459" i="2"/>
  <c r="L531" i="2"/>
  <c r="G531" i="2"/>
  <c r="G616" i="2"/>
  <c r="L616" i="2"/>
  <c r="H76" i="2"/>
  <c r="I76" i="2" s="1"/>
  <c r="E76" i="2"/>
  <c r="J76" i="2" s="1"/>
  <c r="H140" i="2"/>
  <c r="I140" i="2" s="1"/>
  <c r="E140" i="2"/>
  <c r="J140" i="2" s="1"/>
  <c r="H188" i="2"/>
  <c r="I188" i="2" s="1"/>
  <c r="E188" i="2"/>
  <c r="J188" i="2" s="1"/>
  <c r="H216" i="2"/>
  <c r="I216" i="2" s="1"/>
  <c r="E216" i="2"/>
  <c r="J216" i="2" s="1"/>
  <c r="E248" i="2"/>
  <c r="J248" i="2" s="1"/>
  <c r="H248" i="2"/>
  <c r="I248" i="2" s="1"/>
  <c r="E280" i="2"/>
  <c r="J280" i="2" s="1"/>
  <c r="H280" i="2"/>
  <c r="I280" i="2" s="1"/>
  <c r="H312" i="2"/>
  <c r="I312" i="2" s="1"/>
  <c r="E312" i="2"/>
  <c r="J312" i="2" s="1"/>
  <c r="H344" i="2"/>
  <c r="I344" i="2" s="1"/>
  <c r="E344" i="2"/>
  <c r="J344" i="2" s="1"/>
  <c r="H387" i="2"/>
  <c r="I387" i="2" s="1"/>
  <c r="E387" i="2"/>
  <c r="J387" i="2" s="1"/>
  <c r="H47" i="2"/>
  <c r="I47" i="2" s="1"/>
  <c r="E47" i="2"/>
  <c r="J47" i="2" s="1"/>
  <c r="H63" i="2"/>
  <c r="I63" i="2" s="1"/>
  <c r="E63" i="2"/>
  <c r="J63" i="2" s="1"/>
  <c r="H95" i="2"/>
  <c r="I95" i="2" s="1"/>
  <c r="E95" i="2"/>
  <c r="J95" i="2" s="1"/>
  <c r="H123" i="2"/>
  <c r="I123" i="2" s="1"/>
  <c r="E123" i="2"/>
  <c r="J123" i="2" s="1"/>
  <c r="H143" i="2"/>
  <c r="I143" i="2" s="1"/>
  <c r="E143" i="2"/>
  <c r="J143" i="2" s="1"/>
  <c r="G504" i="2"/>
  <c r="E152" i="2"/>
  <c r="J152" i="2" s="1"/>
  <c r="H152" i="2"/>
  <c r="I152" i="2" s="1"/>
  <c r="H228" i="2"/>
  <c r="I228" i="2" s="1"/>
  <c r="E228" i="2"/>
  <c r="J228" i="2" s="1"/>
  <c r="H324" i="2"/>
  <c r="I324" i="2" s="1"/>
  <c r="E324" i="2"/>
  <c r="J324" i="2" s="1"/>
  <c r="E24" i="2"/>
  <c r="J24" i="2" s="1"/>
  <c r="H24" i="2"/>
  <c r="I24" i="2" s="1"/>
  <c r="H32" i="2"/>
  <c r="I32" i="2" s="1"/>
  <c r="E32" i="2"/>
  <c r="J32" i="2" s="1"/>
  <c r="H44" i="2"/>
  <c r="I44" i="2" s="1"/>
  <c r="E44" i="2"/>
  <c r="J44" i="2" s="1"/>
  <c r="H80" i="2"/>
  <c r="I80" i="2" s="1"/>
  <c r="E80" i="2"/>
  <c r="J80" i="2" s="1"/>
  <c r="H132" i="2"/>
  <c r="I132" i="2" s="1"/>
  <c r="E132" i="2"/>
  <c r="J132" i="2" s="1"/>
  <c r="H164" i="2"/>
  <c r="I164" i="2" s="1"/>
  <c r="E164" i="2"/>
  <c r="J164" i="2" s="1"/>
  <c r="G19" i="2"/>
  <c r="L19" i="2"/>
  <c r="L20" i="2" s="1"/>
  <c r="L21" i="2" s="1"/>
  <c r="L22" i="2" s="1"/>
  <c r="H48" i="2"/>
  <c r="I48" i="2" s="1"/>
  <c r="E48" i="2"/>
  <c r="J48" i="2" s="1"/>
  <c r="H92" i="2"/>
  <c r="I92" i="2" s="1"/>
  <c r="E92" i="2"/>
  <c r="J92" i="2" s="1"/>
  <c r="H135" i="2"/>
  <c r="I135" i="2" s="1"/>
  <c r="E135" i="2"/>
  <c r="J135" i="2" s="1"/>
  <c r="H171" i="2"/>
  <c r="I171" i="2" s="1"/>
  <c r="E171" i="2"/>
  <c r="J171" i="2" s="1"/>
  <c r="H197" i="2"/>
  <c r="I197" i="2" s="1"/>
  <c r="E197" i="2"/>
  <c r="J197" i="2" s="1"/>
  <c r="H224" i="2"/>
  <c r="I224" i="2" s="1"/>
  <c r="E224" i="2"/>
  <c r="J224" i="2" s="1"/>
  <c r="H245" i="2"/>
  <c r="I245" i="2" s="1"/>
  <c r="E245" i="2"/>
  <c r="J245" i="2" s="1"/>
  <c r="H267" i="2"/>
  <c r="I267" i="2" s="1"/>
  <c r="E267" i="2"/>
  <c r="J267" i="2" s="1"/>
  <c r="H309" i="2"/>
  <c r="I309" i="2" s="1"/>
  <c r="E309" i="2"/>
  <c r="J309" i="2" s="1"/>
  <c r="H336" i="2"/>
  <c r="I336" i="2" s="1"/>
  <c r="E336" i="2"/>
  <c r="J336" i="2" s="1"/>
  <c r="H357" i="2"/>
  <c r="I357" i="2" s="1"/>
  <c r="E357" i="2"/>
  <c r="J357" i="2" s="1"/>
  <c r="H379" i="2"/>
  <c r="I379" i="2" s="1"/>
  <c r="E379" i="2"/>
  <c r="J379" i="2" s="1"/>
  <c r="E403" i="2"/>
  <c r="J403" i="2" s="1"/>
  <c r="H403" i="2"/>
  <c r="I403" i="2" s="1"/>
  <c r="E423" i="2"/>
  <c r="J423" i="2" s="1"/>
  <c r="H423" i="2"/>
  <c r="I423" i="2" s="1"/>
  <c r="E439" i="2"/>
  <c r="J439" i="2" s="1"/>
  <c r="H439" i="2"/>
  <c r="I439" i="2" s="1"/>
  <c r="H463" i="2"/>
  <c r="I463" i="2" s="1"/>
  <c r="E463" i="2"/>
  <c r="J463" i="2" s="1"/>
  <c r="E487" i="2"/>
  <c r="J487" i="2" s="1"/>
  <c r="H487" i="2"/>
  <c r="I487" i="2" s="1"/>
  <c r="H511" i="2"/>
  <c r="I511" i="2" s="1"/>
  <c r="E511" i="2"/>
  <c r="J511" i="2" s="1"/>
  <c r="E535" i="2"/>
  <c r="J535" i="2" s="1"/>
  <c r="H535" i="2"/>
  <c r="I535" i="2" s="1"/>
  <c r="H559" i="2"/>
  <c r="I559" i="2" s="1"/>
  <c r="E559" i="2"/>
  <c r="H575" i="2"/>
  <c r="I575" i="2" s="1"/>
  <c r="E575" i="2"/>
  <c r="E595" i="2"/>
  <c r="H595" i="2"/>
  <c r="I595" i="2" s="1"/>
  <c r="H623" i="2"/>
  <c r="I623" i="2" s="1"/>
  <c r="E623" i="2"/>
  <c r="L13" i="2"/>
  <c r="L14" i="2" s="1"/>
  <c r="G13" i="2"/>
  <c r="L29" i="2"/>
  <c r="L30" i="2" s="1"/>
  <c r="G29" i="2"/>
  <c r="L45" i="2"/>
  <c r="L46" i="2" s="1"/>
  <c r="G45" i="2"/>
  <c r="G133" i="2"/>
  <c r="G149" i="2"/>
  <c r="L23" i="2"/>
  <c r="G23" i="2"/>
  <c r="H56" i="2"/>
  <c r="I56" i="2" s="1"/>
  <c r="E56" i="2"/>
  <c r="J56" i="2" s="1"/>
  <c r="H308" i="2"/>
  <c r="I308" i="2" s="1"/>
  <c r="E308" i="2"/>
  <c r="J308" i="2" s="1"/>
  <c r="H12" i="2"/>
  <c r="I12" i="2" s="1"/>
  <c r="E12" i="2"/>
  <c r="J12" i="2" s="1"/>
  <c r="H52" i="2"/>
  <c r="I52" i="2" s="1"/>
  <c r="E52" i="2"/>
  <c r="J52" i="2" s="1"/>
  <c r="H84" i="2"/>
  <c r="I84" i="2" s="1"/>
  <c r="E84" i="2"/>
  <c r="J84" i="2" s="1"/>
  <c r="H112" i="2"/>
  <c r="I112" i="2" s="1"/>
  <c r="E112" i="2"/>
  <c r="J112" i="2" s="1"/>
  <c r="H128" i="2"/>
  <c r="I128" i="2" s="1"/>
  <c r="E128" i="2"/>
  <c r="J128" i="2" s="1"/>
  <c r="H180" i="2"/>
  <c r="I180" i="2" s="1"/>
  <c r="E180" i="2"/>
  <c r="J180" i="2" s="1"/>
  <c r="L346" i="2"/>
  <c r="G346" i="2"/>
  <c r="L555" i="2"/>
  <c r="G555" i="2"/>
  <c r="H22" i="2"/>
  <c r="I22" i="2" s="1"/>
  <c r="E22" i="2"/>
  <c r="J22" i="2" s="1"/>
  <c r="H83" i="2"/>
  <c r="I83" i="2" s="1"/>
  <c r="E83" i="2"/>
  <c r="J83" i="2" s="1"/>
  <c r="H136" i="2"/>
  <c r="I136" i="2" s="1"/>
  <c r="E136" i="2"/>
  <c r="J136" i="2" s="1"/>
  <c r="H172" i="2"/>
  <c r="I172" i="2" s="1"/>
  <c r="E172" i="2"/>
  <c r="J172" i="2" s="1"/>
  <c r="H199" i="2"/>
  <c r="I199" i="2" s="1"/>
  <c r="E199" i="2"/>
  <c r="J199" i="2" s="1"/>
  <c r="H220" i="2"/>
  <c r="I220" i="2" s="1"/>
  <c r="E220" i="2"/>
  <c r="J220" i="2" s="1"/>
  <c r="H241" i="2"/>
  <c r="I241" i="2" s="1"/>
  <c r="E241" i="2"/>
  <c r="J241" i="2" s="1"/>
  <c r="H263" i="2"/>
  <c r="I263" i="2" s="1"/>
  <c r="E263" i="2"/>
  <c r="J263" i="2" s="1"/>
  <c r="H284" i="2"/>
  <c r="I284" i="2" s="1"/>
  <c r="E284" i="2"/>
  <c r="J284" i="2" s="1"/>
  <c r="H305" i="2"/>
  <c r="I305" i="2" s="1"/>
  <c r="E305" i="2"/>
  <c r="J305" i="2" s="1"/>
  <c r="H332" i="2"/>
  <c r="I332" i="2" s="1"/>
  <c r="E332" i="2"/>
  <c r="J332" i="2" s="1"/>
  <c r="H353" i="2"/>
  <c r="I353" i="2" s="1"/>
  <c r="E353" i="2"/>
  <c r="J353" i="2" s="1"/>
  <c r="H375" i="2"/>
  <c r="I375" i="2" s="1"/>
  <c r="E375" i="2"/>
  <c r="J375" i="2" s="1"/>
  <c r="E396" i="2"/>
  <c r="J396" i="2" s="1"/>
  <c r="H396" i="2"/>
  <c r="I396" i="2" s="1"/>
  <c r="E412" i="2"/>
  <c r="J412" i="2" s="1"/>
  <c r="H412" i="2"/>
  <c r="I412" i="2" s="1"/>
  <c r="E428" i="2"/>
  <c r="J428" i="2" s="1"/>
  <c r="H428" i="2"/>
  <c r="I428" i="2" s="1"/>
  <c r="E444" i="2"/>
  <c r="J444" i="2" s="1"/>
  <c r="H444" i="2"/>
  <c r="I444" i="2" s="1"/>
  <c r="E460" i="2"/>
  <c r="J460" i="2" s="1"/>
  <c r="H460" i="2"/>
  <c r="I460" i="2" s="1"/>
  <c r="E476" i="2"/>
  <c r="J476" i="2" s="1"/>
  <c r="H476" i="2"/>
  <c r="I476" i="2" s="1"/>
  <c r="H496" i="2"/>
  <c r="I496" i="2" s="1"/>
  <c r="E496" i="2"/>
  <c r="J496" i="2" s="1"/>
  <c r="H516" i="2"/>
  <c r="I516" i="2" s="1"/>
  <c r="E516" i="2"/>
  <c r="J516" i="2" s="1"/>
  <c r="H532" i="2"/>
  <c r="I532" i="2" s="1"/>
  <c r="E532" i="2"/>
  <c r="J532" i="2" s="1"/>
  <c r="H548" i="2"/>
  <c r="I548" i="2" s="1"/>
  <c r="E548" i="2"/>
  <c r="E568" i="2"/>
  <c r="H568" i="2"/>
  <c r="I568" i="2" s="1"/>
  <c r="H592" i="2"/>
  <c r="I592" i="2" s="1"/>
  <c r="E592" i="2"/>
  <c r="H608" i="2"/>
  <c r="I608" i="2" s="1"/>
  <c r="E608" i="2"/>
  <c r="H628" i="2"/>
  <c r="I628" i="2" s="1"/>
  <c r="E628" i="2"/>
  <c r="H18" i="2"/>
  <c r="I18" i="2" s="1"/>
  <c r="E18" i="2"/>
  <c r="J18" i="2" s="1"/>
  <c r="G38" i="2"/>
  <c r="H50" i="2"/>
  <c r="I50" i="2" s="1"/>
  <c r="E50" i="2"/>
  <c r="J50" i="2" s="1"/>
  <c r="G58" i="2"/>
  <c r="L78" i="2"/>
  <c r="G78" i="2"/>
  <c r="G86" i="2"/>
  <c r="L94" i="2"/>
  <c r="L95" i="2" s="1"/>
  <c r="L96" i="2" s="1"/>
  <c r="L97" i="2" s="1"/>
  <c r="L98" i="2" s="1"/>
  <c r="L99" i="2" s="1"/>
  <c r="L100" i="2" s="1"/>
  <c r="L101" i="2" s="1"/>
  <c r="L102" i="2" s="1"/>
  <c r="L103" i="2" s="1"/>
  <c r="G94" i="2"/>
  <c r="G106" i="2"/>
  <c r="H114" i="2"/>
  <c r="I114" i="2" s="1"/>
  <c r="E114" i="2"/>
  <c r="J114" i="2" s="1"/>
  <c r="L122" i="2"/>
  <c r="L123" i="2" s="1"/>
  <c r="L124" i="2" s="1"/>
  <c r="L125" i="2" s="1"/>
  <c r="L126" i="2" s="1"/>
  <c r="L127" i="2" s="1"/>
  <c r="L128" i="2" s="1"/>
  <c r="L129" i="2" s="1"/>
  <c r="L130" i="2" s="1"/>
  <c r="L131" i="2" s="1"/>
  <c r="G122" i="2"/>
  <c r="G134" i="2"/>
  <c r="L162" i="2"/>
  <c r="G162" i="2"/>
  <c r="H178" i="2"/>
  <c r="I178" i="2" s="1"/>
  <c r="E178" i="2"/>
  <c r="J178" i="2" s="1"/>
  <c r="G186" i="2"/>
  <c r="G194" i="2"/>
  <c r="L206" i="2"/>
  <c r="L207" i="2" s="1"/>
  <c r="L208" i="2" s="1"/>
  <c r="L209" i="2" s="1"/>
  <c r="L210" i="2" s="1"/>
  <c r="L211" i="2" s="1"/>
  <c r="L212" i="2" s="1"/>
  <c r="L213" i="2" s="1"/>
  <c r="L214" i="2" s="1"/>
  <c r="L215" i="2" s="1"/>
  <c r="L216" i="2" s="1"/>
  <c r="G206" i="2"/>
  <c r="L218" i="2"/>
  <c r="G218" i="2"/>
  <c r="G226" i="2"/>
  <c r="G238" i="2"/>
  <c r="G266" i="2"/>
  <c r="H278" i="2"/>
  <c r="I278" i="2" s="1"/>
  <c r="E278" i="2"/>
  <c r="J278" i="2" s="1"/>
  <c r="H294" i="2"/>
  <c r="I294" i="2" s="1"/>
  <c r="E294" i="2"/>
  <c r="J294" i="2" s="1"/>
  <c r="H310" i="2"/>
  <c r="I310" i="2" s="1"/>
  <c r="E310" i="2"/>
  <c r="J310" i="2" s="1"/>
  <c r="L318" i="2"/>
  <c r="G318" i="2"/>
  <c r="H326" i="2"/>
  <c r="I326" i="2" s="1"/>
  <c r="E326" i="2"/>
  <c r="J326" i="2" s="1"/>
  <c r="G334" i="2"/>
  <c r="L334" i="2"/>
  <c r="E350" i="2"/>
  <c r="J350" i="2" s="1"/>
  <c r="H350" i="2"/>
  <c r="I350" i="2" s="1"/>
  <c r="H362" i="2"/>
  <c r="I362" i="2" s="1"/>
  <c r="E362" i="2"/>
  <c r="J362" i="2" s="1"/>
  <c r="E382" i="2"/>
  <c r="J382" i="2" s="1"/>
  <c r="H382" i="2"/>
  <c r="I382" i="2" s="1"/>
  <c r="H394" i="2"/>
  <c r="I394" i="2" s="1"/>
  <c r="E394" i="2"/>
  <c r="J394" i="2" s="1"/>
  <c r="L475" i="2"/>
  <c r="L476" i="2" s="1"/>
  <c r="L477" i="2" s="1"/>
  <c r="L478" i="2" s="1"/>
  <c r="L479" i="2" s="1"/>
  <c r="L480" i="2" s="1"/>
  <c r="L481" i="2" s="1"/>
  <c r="L482" i="2" s="1"/>
  <c r="L483" i="2" s="1"/>
  <c r="L484" i="2" s="1"/>
  <c r="L485" i="2" s="1"/>
  <c r="G475" i="2"/>
  <c r="L560" i="2"/>
  <c r="G560" i="2"/>
  <c r="G631" i="2"/>
  <c r="L631" i="2"/>
  <c r="H87" i="2"/>
  <c r="I87" i="2" s="1"/>
  <c r="E87" i="2"/>
  <c r="J87" i="2" s="1"/>
  <c r="H151" i="2"/>
  <c r="I151" i="2" s="1"/>
  <c r="E151" i="2"/>
  <c r="J151" i="2" s="1"/>
  <c r="H195" i="2"/>
  <c r="I195" i="2" s="1"/>
  <c r="E195" i="2"/>
  <c r="J195" i="2" s="1"/>
  <c r="H227" i="2"/>
  <c r="I227" i="2" s="1"/>
  <c r="E227" i="2"/>
  <c r="J227" i="2" s="1"/>
  <c r="E259" i="2"/>
  <c r="J259" i="2" s="1"/>
  <c r="H259" i="2"/>
  <c r="I259" i="2" s="1"/>
  <c r="H291" i="2"/>
  <c r="I291" i="2" s="1"/>
  <c r="E291" i="2"/>
  <c r="J291" i="2" s="1"/>
  <c r="E323" i="2"/>
  <c r="J323" i="2" s="1"/>
  <c r="H323" i="2"/>
  <c r="I323" i="2" s="1"/>
  <c r="E360" i="2"/>
  <c r="J360" i="2" s="1"/>
  <c r="H360" i="2"/>
  <c r="I360" i="2" s="1"/>
  <c r="E392" i="2"/>
  <c r="J392" i="2" s="1"/>
  <c r="H392" i="2"/>
  <c r="I392" i="2" s="1"/>
  <c r="L47" i="2"/>
  <c r="G47" i="2"/>
  <c r="L63" i="2"/>
  <c r="G63" i="2"/>
  <c r="G95" i="2"/>
  <c r="G123" i="2"/>
  <c r="L576" i="2"/>
  <c r="G576" i="2"/>
  <c r="H168" i="2"/>
  <c r="I168" i="2" s="1"/>
  <c r="E168" i="2"/>
  <c r="J168" i="2" s="1"/>
  <c r="H244" i="2"/>
  <c r="I244" i="2" s="1"/>
  <c r="E244" i="2"/>
  <c r="J244" i="2" s="1"/>
  <c r="H340" i="2"/>
  <c r="I340" i="2" s="1"/>
  <c r="E340" i="2"/>
  <c r="J340" i="2" s="1"/>
  <c r="L24" i="2"/>
  <c r="L25" i="2" s="1"/>
  <c r="L26" i="2" s="1"/>
  <c r="L27" i="2" s="1"/>
  <c r="G24" i="2"/>
  <c r="L32" i="2"/>
  <c r="G32" i="2"/>
  <c r="L44" i="2"/>
  <c r="G44" i="2"/>
  <c r="L80" i="2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G80" i="2"/>
  <c r="L132" i="2"/>
  <c r="L133" i="2" s="1"/>
  <c r="L134" i="2" s="1"/>
  <c r="L135" i="2" s="1"/>
  <c r="L136" i="2" s="1"/>
  <c r="L137" i="2" s="1"/>
  <c r="L138" i="2" s="1"/>
  <c r="L139" i="2" s="1"/>
  <c r="L140" i="2" s="1"/>
  <c r="L141" i="2" s="1"/>
  <c r="L142" i="2" s="1"/>
  <c r="L143" i="2" s="1"/>
  <c r="L144" i="2" s="1"/>
  <c r="L145" i="2" s="1"/>
  <c r="G132" i="2"/>
  <c r="G164" i="2"/>
  <c r="L146" i="2"/>
  <c r="G146" i="2"/>
  <c r="E6" i="2"/>
  <c r="J6" i="2" s="1"/>
  <c r="H6" i="2"/>
  <c r="I6" i="2" s="1"/>
  <c r="H60" i="2"/>
  <c r="I60" i="2" s="1"/>
  <c r="E60" i="2"/>
  <c r="J60" i="2" s="1"/>
  <c r="H103" i="2"/>
  <c r="I103" i="2" s="1"/>
  <c r="E103" i="2"/>
  <c r="J103" i="2" s="1"/>
  <c r="H145" i="2"/>
  <c r="I145" i="2" s="1"/>
  <c r="E145" i="2"/>
  <c r="J145" i="2" s="1"/>
  <c r="H177" i="2"/>
  <c r="I177" i="2" s="1"/>
  <c r="E177" i="2"/>
  <c r="J177" i="2" s="1"/>
  <c r="H203" i="2"/>
  <c r="I203" i="2" s="1"/>
  <c r="E203" i="2"/>
  <c r="J203" i="2" s="1"/>
  <c r="H229" i="2"/>
  <c r="I229" i="2" s="1"/>
  <c r="E229" i="2"/>
  <c r="J229" i="2" s="1"/>
  <c r="H251" i="2"/>
  <c r="I251" i="2" s="1"/>
  <c r="E251" i="2"/>
  <c r="J251" i="2" s="1"/>
  <c r="H277" i="2"/>
  <c r="I277" i="2" s="1"/>
  <c r="E277" i="2"/>
  <c r="J277" i="2" s="1"/>
  <c r="H315" i="2"/>
  <c r="I315" i="2" s="1"/>
  <c r="E315" i="2"/>
  <c r="J315" i="2" s="1"/>
  <c r="H341" i="2"/>
  <c r="I341" i="2" s="1"/>
  <c r="E341" i="2"/>
  <c r="J341" i="2" s="1"/>
  <c r="H363" i="2"/>
  <c r="I363" i="2" s="1"/>
  <c r="E363" i="2"/>
  <c r="J363" i="2" s="1"/>
  <c r="H384" i="2"/>
  <c r="I384" i="2" s="1"/>
  <c r="E384" i="2"/>
  <c r="J384" i="2" s="1"/>
  <c r="E407" i="2"/>
  <c r="J407" i="2" s="1"/>
  <c r="H407" i="2"/>
  <c r="I407" i="2" s="1"/>
  <c r="H427" i="2"/>
  <c r="I427" i="2" s="1"/>
  <c r="E427" i="2"/>
  <c r="J427" i="2" s="1"/>
  <c r="H443" i="2"/>
  <c r="I443" i="2" s="1"/>
  <c r="E443" i="2"/>
  <c r="J443" i="2" s="1"/>
  <c r="E467" i="2"/>
  <c r="J467" i="2" s="1"/>
  <c r="H467" i="2"/>
  <c r="I467" i="2" s="1"/>
  <c r="H495" i="2"/>
  <c r="I495" i="2" s="1"/>
  <c r="E495" i="2"/>
  <c r="J495" i="2" s="1"/>
  <c r="E515" i="2"/>
  <c r="J515" i="2" s="1"/>
  <c r="H515" i="2"/>
  <c r="I515" i="2" s="1"/>
  <c r="E539" i="2"/>
  <c r="J539" i="2" s="1"/>
  <c r="H539" i="2"/>
  <c r="I539" i="2" s="1"/>
  <c r="E563" i="2"/>
  <c r="H563" i="2"/>
  <c r="I563" i="2" s="1"/>
  <c r="E579" i="2"/>
  <c r="H579" i="2"/>
  <c r="I579" i="2" s="1"/>
  <c r="E599" i="2"/>
  <c r="H599" i="2"/>
  <c r="I599" i="2" s="1"/>
  <c r="E627" i="2"/>
  <c r="H627" i="2"/>
  <c r="I627" i="2" s="1"/>
  <c r="E9" i="2"/>
  <c r="J9" i="2" s="1"/>
  <c r="H9" i="2"/>
  <c r="I9" i="2" s="1"/>
  <c r="H17" i="2"/>
  <c r="I17" i="2" s="1"/>
  <c r="E17" i="2"/>
  <c r="J17" i="2" s="1"/>
  <c r="H25" i="2"/>
  <c r="I25" i="2" s="1"/>
  <c r="E25" i="2"/>
  <c r="J25" i="2" s="1"/>
  <c r="H33" i="2"/>
  <c r="I33" i="2" s="1"/>
  <c r="E33" i="2"/>
  <c r="J33" i="2" s="1"/>
  <c r="H41" i="2"/>
  <c r="I41" i="2" s="1"/>
  <c r="E41" i="2"/>
  <c r="J41" i="2" s="1"/>
  <c r="H49" i="2"/>
  <c r="I49" i="2" s="1"/>
  <c r="E49" i="2"/>
  <c r="J49" i="2" s="1"/>
  <c r="H57" i="2"/>
  <c r="I57" i="2" s="1"/>
  <c r="E57" i="2"/>
  <c r="J57" i="2" s="1"/>
  <c r="H73" i="2"/>
  <c r="I73" i="2" s="1"/>
  <c r="E73" i="2"/>
  <c r="J73" i="2" s="1"/>
  <c r="H89" i="2"/>
  <c r="I89" i="2" s="1"/>
  <c r="E89" i="2"/>
  <c r="J89" i="2" s="1"/>
  <c r="H105" i="2"/>
  <c r="I105" i="2" s="1"/>
  <c r="E105" i="2"/>
  <c r="J105" i="2" s="1"/>
  <c r="H121" i="2"/>
  <c r="I121" i="2" s="1"/>
  <c r="E121" i="2"/>
  <c r="J121" i="2" s="1"/>
  <c r="H137" i="2"/>
  <c r="I137" i="2" s="1"/>
  <c r="E137" i="2"/>
  <c r="J137" i="2" s="1"/>
  <c r="H153" i="2"/>
  <c r="I153" i="2" s="1"/>
  <c r="E153" i="2"/>
  <c r="J153" i="2" s="1"/>
  <c r="H185" i="2"/>
  <c r="I185" i="2" s="1"/>
  <c r="E185" i="2"/>
  <c r="J185" i="2" s="1"/>
  <c r="E11" i="2"/>
  <c r="J11" i="2" s="1"/>
  <c r="H11" i="2"/>
  <c r="I11" i="2" s="1"/>
  <c r="H39" i="2"/>
  <c r="I39" i="2" s="1"/>
  <c r="E39" i="2"/>
  <c r="J39" i="2" s="1"/>
  <c r="H79" i="2"/>
  <c r="I79" i="2" s="1"/>
  <c r="E79" i="2"/>
  <c r="J79" i="2" s="1"/>
  <c r="H139" i="2"/>
  <c r="I139" i="2" s="1"/>
  <c r="E139" i="2"/>
  <c r="J139" i="2" s="1"/>
  <c r="H191" i="2"/>
  <c r="I191" i="2" s="1"/>
  <c r="E191" i="2"/>
  <c r="J191" i="2" s="1"/>
  <c r="E120" i="2"/>
  <c r="J120" i="2" s="1"/>
  <c r="H120" i="2"/>
  <c r="I120" i="2" s="1"/>
  <c r="H356" i="2"/>
  <c r="I356" i="2" s="1"/>
  <c r="E356" i="2"/>
  <c r="J356" i="2" s="1"/>
  <c r="L12" i="2"/>
  <c r="G12" i="2"/>
  <c r="G198" i="2"/>
  <c r="G366" i="2"/>
  <c r="G583" i="2"/>
  <c r="L583" i="2"/>
  <c r="H36" i="2"/>
  <c r="I36" i="2" s="1"/>
  <c r="E36" i="2"/>
  <c r="J36" i="2" s="1"/>
  <c r="H93" i="2"/>
  <c r="I93" i="2" s="1"/>
  <c r="E93" i="2"/>
  <c r="J93" i="2" s="1"/>
  <c r="H147" i="2"/>
  <c r="I147" i="2" s="1"/>
  <c r="E147" i="2"/>
  <c r="J147" i="2" s="1"/>
  <c r="H179" i="2"/>
  <c r="I179" i="2" s="1"/>
  <c r="E179" i="2"/>
  <c r="J179" i="2" s="1"/>
  <c r="H204" i="2"/>
  <c r="I204" i="2" s="1"/>
  <c r="E204" i="2"/>
  <c r="J204" i="2" s="1"/>
  <c r="H225" i="2"/>
  <c r="I225" i="2" s="1"/>
  <c r="E225" i="2"/>
  <c r="J225" i="2" s="1"/>
  <c r="H247" i="2"/>
  <c r="I247" i="2" s="1"/>
  <c r="E247" i="2"/>
  <c r="J247" i="2" s="1"/>
  <c r="H268" i="2"/>
  <c r="I268" i="2" s="1"/>
  <c r="E268" i="2"/>
  <c r="J268" i="2" s="1"/>
  <c r="H289" i="2"/>
  <c r="I289" i="2" s="1"/>
  <c r="E289" i="2"/>
  <c r="J289" i="2" s="1"/>
  <c r="H311" i="2"/>
  <c r="I311" i="2" s="1"/>
  <c r="E311" i="2"/>
  <c r="J311" i="2" s="1"/>
  <c r="H337" i="2"/>
  <c r="I337" i="2" s="1"/>
  <c r="E337" i="2"/>
  <c r="J337" i="2" s="1"/>
  <c r="H359" i="2"/>
  <c r="I359" i="2" s="1"/>
  <c r="E359" i="2"/>
  <c r="J359" i="2" s="1"/>
  <c r="H380" i="2"/>
  <c r="I380" i="2" s="1"/>
  <c r="E380" i="2"/>
  <c r="J380" i="2" s="1"/>
  <c r="H400" i="2"/>
  <c r="I400" i="2" s="1"/>
  <c r="E400" i="2"/>
  <c r="J400" i="2" s="1"/>
  <c r="H416" i="2"/>
  <c r="I416" i="2" s="1"/>
  <c r="E416" i="2"/>
  <c r="J416" i="2" s="1"/>
  <c r="H432" i="2"/>
  <c r="I432" i="2" s="1"/>
  <c r="E432" i="2"/>
  <c r="J432" i="2" s="1"/>
  <c r="H448" i="2"/>
  <c r="I448" i="2" s="1"/>
  <c r="E448" i="2"/>
  <c r="J448" i="2" s="1"/>
  <c r="H464" i="2"/>
  <c r="I464" i="2" s="1"/>
  <c r="E464" i="2"/>
  <c r="J464" i="2" s="1"/>
  <c r="H480" i="2"/>
  <c r="I480" i="2" s="1"/>
  <c r="E480" i="2"/>
  <c r="J480" i="2" s="1"/>
  <c r="H500" i="2"/>
  <c r="I500" i="2" s="1"/>
  <c r="E500" i="2"/>
  <c r="J500" i="2" s="1"/>
  <c r="E520" i="2"/>
  <c r="J520" i="2" s="1"/>
  <c r="H520" i="2"/>
  <c r="I520" i="2" s="1"/>
  <c r="E536" i="2"/>
  <c r="J536" i="2" s="1"/>
  <c r="H536" i="2"/>
  <c r="I536" i="2" s="1"/>
  <c r="E552" i="2"/>
  <c r="H552" i="2"/>
  <c r="I552" i="2" s="1"/>
  <c r="E572" i="2"/>
  <c r="H572" i="2"/>
  <c r="I572" i="2" s="1"/>
  <c r="H596" i="2"/>
  <c r="I596" i="2" s="1"/>
  <c r="E596" i="2"/>
  <c r="H612" i="2"/>
  <c r="I612" i="2" s="1"/>
  <c r="E612" i="2"/>
  <c r="E10" i="2"/>
  <c r="J10" i="2" s="1"/>
  <c r="H10" i="2"/>
  <c r="I10" i="2" s="1"/>
  <c r="H26" i="2"/>
  <c r="I26" i="2" s="1"/>
  <c r="E26" i="2"/>
  <c r="J26" i="2" s="1"/>
  <c r="E46" i="2"/>
  <c r="J46" i="2" s="1"/>
  <c r="H46" i="2"/>
  <c r="I46" i="2" s="1"/>
  <c r="H54" i="2"/>
  <c r="I54" i="2" s="1"/>
  <c r="E54" i="2"/>
  <c r="J54" i="2" s="1"/>
  <c r="H62" i="2"/>
  <c r="I62" i="2" s="1"/>
  <c r="E62" i="2"/>
  <c r="J62" i="2" s="1"/>
  <c r="H74" i="2"/>
  <c r="I74" i="2" s="1"/>
  <c r="E74" i="2"/>
  <c r="J74" i="2" s="1"/>
  <c r="G82" i="2"/>
  <c r="H90" i="2"/>
  <c r="I90" i="2" s="1"/>
  <c r="E90" i="2"/>
  <c r="J90" i="2" s="1"/>
  <c r="H102" i="2"/>
  <c r="I102" i="2" s="1"/>
  <c r="E102" i="2"/>
  <c r="J102" i="2" s="1"/>
  <c r="H110" i="2"/>
  <c r="I110" i="2" s="1"/>
  <c r="E110" i="2"/>
  <c r="J110" i="2" s="1"/>
  <c r="H118" i="2"/>
  <c r="I118" i="2" s="1"/>
  <c r="E118" i="2"/>
  <c r="J118" i="2" s="1"/>
  <c r="H126" i="2"/>
  <c r="I126" i="2" s="1"/>
  <c r="E126" i="2"/>
  <c r="J126" i="2" s="1"/>
  <c r="H138" i="2"/>
  <c r="I138" i="2" s="1"/>
  <c r="E138" i="2"/>
  <c r="J138" i="2" s="1"/>
  <c r="H150" i="2"/>
  <c r="I150" i="2" s="1"/>
  <c r="E150" i="2"/>
  <c r="J150" i="2" s="1"/>
  <c r="H158" i="2"/>
  <c r="I158" i="2" s="1"/>
  <c r="E158" i="2"/>
  <c r="J158" i="2" s="1"/>
  <c r="G166" i="2"/>
  <c r="E174" i="2"/>
  <c r="J174" i="2" s="1"/>
  <c r="H174" i="2"/>
  <c r="I174" i="2" s="1"/>
  <c r="H182" i="2"/>
  <c r="I182" i="2" s="1"/>
  <c r="E182" i="2"/>
  <c r="J182" i="2" s="1"/>
  <c r="H190" i="2"/>
  <c r="I190" i="2" s="1"/>
  <c r="E190" i="2"/>
  <c r="J190" i="2" s="1"/>
  <c r="H202" i="2"/>
  <c r="I202" i="2" s="1"/>
  <c r="E202" i="2"/>
  <c r="J202" i="2" s="1"/>
  <c r="H214" i="2"/>
  <c r="I214" i="2" s="1"/>
  <c r="E214" i="2"/>
  <c r="J214" i="2" s="1"/>
  <c r="E222" i="2"/>
  <c r="J222" i="2" s="1"/>
  <c r="H222" i="2"/>
  <c r="I222" i="2" s="1"/>
  <c r="H234" i="2"/>
  <c r="I234" i="2" s="1"/>
  <c r="E234" i="2"/>
  <c r="J234" i="2" s="1"/>
  <c r="H250" i="2"/>
  <c r="I250" i="2" s="1"/>
  <c r="E250" i="2"/>
  <c r="J250" i="2" s="1"/>
  <c r="H258" i="2"/>
  <c r="I258" i="2" s="1"/>
  <c r="E258" i="2"/>
  <c r="J258" i="2" s="1"/>
  <c r="H270" i="2"/>
  <c r="I270" i="2" s="1"/>
  <c r="E270" i="2"/>
  <c r="J270" i="2" s="1"/>
  <c r="H282" i="2"/>
  <c r="I282" i="2" s="1"/>
  <c r="E282" i="2"/>
  <c r="J282" i="2" s="1"/>
  <c r="H290" i="2"/>
  <c r="I290" i="2" s="1"/>
  <c r="E290" i="2"/>
  <c r="J290" i="2" s="1"/>
  <c r="H298" i="2"/>
  <c r="I298" i="2" s="1"/>
  <c r="E298" i="2"/>
  <c r="J298" i="2" s="1"/>
  <c r="L306" i="2"/>
  <c r="L307" i="2" s="1"/>
  <c r="L308" i="2" s="1"/>
  <c r="L309" i="2" s="1"/>
  <c r="L310" i="2" s="1"/>
  <c r="L311" i="2" s="1"/>
  <c r="L312" i="2" s="1"/>
  <c r="L313" i="2" s="1"/>
  <c r="L314" i="2" s="1"/>
  <c r="L315" i="2" s="1"/>
  <c r="G306" i="2"/>
  <c r="H314" i="2"/>
  <c r="I314" i="2" s="1"/>
  <c r="E314" i="2"/>
  <c r="J314" i="2" s="1"/>
  <c r="H322" i="2"/>
  <c r="I322" i="2" s="1"/>
  <c r="E322" i="2"/>
  <c r="J322" i="2" s="1"/>
  <c r="H330" i="2"/>
  <c r="I330" i="2" s="1"/>
  <c r="E330" i="2"/>
  <c r="J330" i="2" s="1"/>
  <c r="L390" i="2"/>
  <c r="G390" i="2"/>
  <c r="L51" i="2"/>
  <c r="L52" i="2" s="1"/>
  <c r="L53" i="2" s="1"/>
  <c r="L54" i="2" s="1"/>
  <c r="G51" i="2"/>
  <c r="L488" i="2"/>
  <c r="G488" i="2"/>
  <c r="G588" i="2"/>
  <c r="L588" i="2"/>
  <c r="H27" i="2"/>
  <c r="I27" i="2" s="1"/>
  <c r="E27" i="2"/>
  <c r="J27" i="2" s="1"/>
  <c r="H108" i="2"/>
  <c r="I108" i="2" s="1"/>
  <c r="E108" i="2"/>
  <c r="J108" i="2" s="1"/>
  <c r="H160" i="2"/>
  <c r="I160" i="2" s="1"/>
  <c r="E160" i="2"/>
  <c r="J160" i="2" s="1"/>
  <c r="E200" i="2"/>
  <c r="J200" i="2" s="1"/>
  <c r="H200" i="2"/>
  <c r="I200" i="2" s="1"/>
  <c r="E232" i="2"/>
  <c r="J232" i="2" s="1"/>
  <c r="H232" i="2"/>
  <c r="I232" i="2" s="1"/>
  <c r="H264" i="2"/>
  <c r="I264" i="2" s="1"/>
  <c r="E264" i="2"/>
  <c r="J264" i="2" s="1"/>
  <c r="H296" i="2"/>
  <c r="I296" i="2" s="1"/>
  <c r="E296" i="2"/>
  <c r="J296" i="2" s="1"/>
  <c r="H328" i="2"/>
  <c r="I328" i="2" s="1"/>
  <c r="E328" i="2"/>
  <c r="J328" i="2" s="1"/>
  <c r="E371" i="2"/>
  <c r="J371" i="2" s="1"/>
  <c r="H371" i="2"/>
  <c r="I371" i="2" s="1"/>
  <c r="H31" i="2"/>
  <c r="I31" i="2" s="1"/>
  <c r="E31" i="2"/>
  <c r="J31" i="2" s="1"/>
  <c r="H59" i="2"/>
  <c r="I59" i="2" s="1"/>
  <c r="E59" i="2"/>
  <c r="J59" i="2" s="1"/>
  <c r="H91" i="2"/>
  <c r="I91" i="2" s="1"/>
  <c r="E91" i="2"/>
  <c r="J91" i="2" s="1"/>
  <c r="H107" i="2"/>
  <c r="I107" i="2" s="1"/>
  <c r="E107" i="2"/>
  <c r="J107" i="2" s="1"/>
  <c r="H127" i="2"/>
  <c r="I127" i="2" s="1"/>
  <c r="E127" i="2"/>
  <c r="J127" i="2" s="1"/>
  <c r="H175" i="2"/>
  <c r="I175" i="2" s="1"/>
  <c r="E175" i="2"/>
  <c r="J175" i="2" s="1"/>
  <c r="G632" i="2"/>
  <c r="L632" i="2"/>
  <c r="H176" i="2"/>
  <c r="I176" i="2" s="1"/>
  <c r="E176" i="2"/>
  <c r="J176" i="2" s="1"/>
  <c r="H276" i="2"/>
  <c r="I276" i="2" s="1"/>
  <c r="E276" i="2"/>
  <c r="J276" i="2" s="1"/>
  <c r="H372" i="2"/>
  <c r="I372" i="2" s="1"/>
  <c r="E372" i="2"/>
  <c r="J372" i="2" s="1"/>
  <c r="H28" i="2"/>
  <c r="I28" i="2" s="1"/>
  <c r="E28" i="2"/>
  <c r="J28" i="2" s="1"/>
  <c r="H40" i="2"/>
  <c r="I40" i="2" s="1"/>
  <c r="E40" i="2"/>
  <c r="J40" i="2" s="1"/>
  <c r="H68" i="2"/>
  <c r="I68" i="2" s="1"/>
  <c r="E68" i="2"/>
  <c r="J68" i="2" s="1"/>
  <c r="H100" i="2"/>
  <c r="I100" i="2" s="1"/>
  <c r="E100" i="2"/>
  <c r="J100" i="2" s="1"/>
  <c r="H148" i="2"/>
  <c r="I148" i="2" s="1"/>
  <c r="E148" i="2"/>
  <c r="J148" i="2" s="1"/>
</calcChain>
</file>

<file path=xl/connections.xml><?xml version="1.0" encoding="utf-8"?>
<connections xmlns="http://schemas.openxmlformats.org/spreadsheetml/2006/main">
  <connection id="1" name="1-premierleague" type="6" refreshedVersion="6" background="1" saveData="1">
    <textPr prompt="0" codePage="850" sourceFile="https://raw.githubusercontent.com/openfootball/england/master/2020-21/1-premierleague.txt" decimal="," thousands="." tab="0">
      <textFields>
        <textField/>
      </textFields>
    </textPr>
  </connection>
</connections>
</file>

<file path=xl/sharedStrings.xml><?xml version="1.0" encoding="utf-8"?>
<sst xmlns="http://schemas.openxmlformats.org/spreadsheetml/2006/main" count="6535" uniqueCount="720">
  <si>
    <t>= English Premier League 2020/21</t>
  </si>
  <si>
    <t>Matchday 1</t>
  </si>
  <si>
    <t>[Sat Sep/12]</t>
  </si>
  <si>
    <t xml:space="preserve">  Burnley FC               -  Manchester United</t>
  </si>
  <si>
    <t xml:space="preserve">  Manchester City FC       -  Aston Villa FC</t>
  </si>
  <si>
    <t xml:space="preserve">  12.30  Fulham FC                0-3 (0-1)  Arsenal FC</t>
  </si>
  <si>
    <t xml:space="preserve">  15.00  Crystal Palace FC        1-0 (1-0)  Southampton FC</t>
  </si>
  <si>
    <t xml:space="preserve">  17.30  Liverpool FC             4-3 (3-2)  Leeds United FC</t>
  </si>
  <si>
    <t xml:space="preserve">  20.00  West Ham United FC       0-2 (0-0)  Newcastle United FC</t>
  </si>
  <si>
    <t>[Sun Sep/13]</t>
  </si>
  <si>
    <t xml:space="preserve">  14.00  West Bromwich Albion FC  0-3 (0-0)  Leicester City FC</t>
  </si>
  <si>
    <t xml:space="preserve">  16.30  Tottenham Hotspur FC     0-1 (0-0)  Everton FC</t>
  </si>
  <si>
    <t>[Mon Sep/14]</t>
  </si>
  <si>
    <t xml:space="preserve">  18.00  Sheffield United FC      0-2 (0-2)  Wolverhampton Wanderers FC</t>
  </si>
  <si>
    <t xml:space="preserve">  20.15  Brighton &amp; Hove Albion FC  1-3 (0-1)  Chelsea FC</t>
  </si>
  <si>
    <t>Matchday 2</t>
  </si>
  <si>
    <t>[Sat Sep/19]</t>
  </si>
  <si>
    <t xml:space="preserve">  12.30  Everton FC               5-2 (2-1)  West Bromwich Albion FC</t>
  </si>
  <si>
    <t xml:space="preserve">  15.00  Leeds United FC          4-3 (2-1)  Fulham FC</t>
  </si>
  <si>
    <t xml:space="preserve">  17.30  Manchester United        1-3 (0-1)  Crystal Palace FC</t>
  </si>
  <si>
    <t xml:space="preserve">  20.00  Arsenal FC               2-1 (1-1)  West Ham United FC</t>
  </si>
  <si>
    <t>[Sun Sep/20]</t>
  </si>
  <si>
    <t xml:space="preserve">  12.00  Southampton FC           2-5 (1-1)  Tottenham Hotspur FC</t>
  </si>
  <si>
    <t xml:space="preserve">  14.00  Newcastle United FC      0-3 (0-2)  Brighton &amp; Hove Albion FC</t>
  </si>
  <si>
    <t xml:space="preserve">  16.30  Chelsea FC               0-2 (0-0)  Liverpool FC</t>
  </si>
  <si>
    <t xml:space="preserve">  19.00  Leicester City FC        4-2 (1-1)  Burnley FC</t>
  </si>
  <si>
    <t>[Mon Sep/21]</t>
  </si>
  <si>
    <t xml:space="preserve">  18.00  Aston Villa FC           1-0 (0-0)  Sheffield United FC</t>
  </si>
  <si>
    <t xml:space="preserve">  20.15  Wolverhampton Wanderers FC  1-3 (0-2)  Manchester City FC</t>
  </si>
  <si>
    <t>Matchday 3</t>
  </si>
  <si>
    <t>[Sat Sep/26]</t>
  </si>
  <si>
    <t xml:space="preserve">  12.30  Brighton &amp; Hove Albion FC  2-3 (1-1)  Manchester United</t>
  </si>
  <si>
    <t xml:space="preserve">  15.00  Crystal Palace FC        1-2 (1-2)  Everton FC</t>
  </si>
  <si>
    <t xml:space="preserve">  17.30  West Bromwich Albion FC  3-3 (3-0)  Chelsea FC</t>
  </si>
  <si>
    <t xml:space="preserve">  20.00  Burnley FC               0-1 (0-1)  Southampton FC</t>
  </si>
  <si>
    <t>[Sun Sep/27]</t>
  </si>
  <si>
    <t xml:space="preserve">  12.00  Sheffield United FC      0-1 (0-0)  Leeds United FC</t>
  </si>
  <si>
    <t xml:space="preserve">  14.00  Tottenham Hotspur FC     1-1 (1-0)  Newcastle United FC</t>
  </si>
  <si>
    <t xml:space="preserve">  16.30  Manchester City FC       2-5 (1-1)  Leicester City FC</t>
  </si>
  <si>
    <t xml:space="preserve">  19.00  West Ham United FC       4-0 (1-0)  Wolverhampton Wanderers FC</t>
  </si>
  <si>
    <t>[Mon Sep/28]</t>
  </si>
  <si>
    <t xml:space="preserve">  17.45  Fulham FC                0-3 (0-2)  Aston Villa FC</t>
  </si>
  <si>
    <t xml:space="preserve">  20.00  Liverpool FC             3-1 (2-1)  Arsenal FC</t>
  </si>
  <si>
    <t>Matchday 4</t>
  </si>
  <si>
    <t>[Sat Oct/3]</t>
  </si>
  <si>
    <t xml:space="preserve">  12.30  Chelsea FC               4-0 (0-0)  Crystal Palace FC</t>
  </si>
  <si>
    <t xml:space="preserve">  15.00  Everton FC               4-2 (2-1)  Brighton &amp; Hove Albion FC</t>
  </si>
  <si>
    <t xml:space="preserve">  17.30  Leeds United FC          1-1 (0-1)  Manchester City FC</t>
  </si>
  <si>
    <t xml:space="preserve">  20.00  Newcastle United FC      3-1 (1-0)  Burnley FC</t>
  </si>
  <si>
    <t>[Sun Oct/4]</t>
  </si>
  <si>
    <t xml:space="preserve">  12.00  Leicester City FC        0-3 (0-2)  West Ham United FC</t>
  </si>
  <si>
    <t xml:space="preserve">         Southampton FC           2-0 (1-0)  West Bromwich Albion FC</t>
  </si>
  <si>
    <t xml:space="preserve">  14.00  Arsenal FC               2-1 (0-0)  Sheffield United FC</t>
  </si>
  <si>
    <t xml:space="preserve">         Wolverhampton Wanderers FC  1-0 (0-0)  Fulham FC</t>
  </si>
  <si>
    <t xml:space="preserve">  16.30  Manchester United        1-6 (1-4)  Tottenham Hotspur FC</t>
  </si>
  <si>
    <t xml:space="preserve">  19.15  Aston Villa FC           7-2 (4-1)  Liverpool FC</t>
  </si>
  <si>
    <t>Matchday 5</t>
  </si>
  <si>
    <t>[Sat Oct/17]</t>
  </si>
  <si>
    <t xml:space="preserve">  Chelsea FC               -  Southampton FC</t>
  </si>
  <si>
    <t xml:space="preserve">  Crystal Palace FC        -  Brighton &amp; Hove Albion FC</t>
  </si>
  <si>
    <t xml:space="preserve">  Everton FC               -  Liverpool FC</t>
  </si>
  <si>
    <t xml:space="preserve">  Leeds United FC          -  Wolverhampton Wanderers FC</t>
  </si>
  <si>
    <t xml:space="preserve">  Leicester City FC        -  Aston Villa FC</t>
  </si>
  <si>
    <t xml:space="preserve">  Manchester City FC       -  Arsenal FC</t>
  </si>
  <si>
    <t xml:space="preserve">  Newcastle United FC      -  Manchester United</t>
  </si>
  <si>
    <t xml:space="preserve">  Sheffield United FC      -  Fulham FC</t>
  </si>
  <si>
    <t xml:space="preserve">  Tottenham Hotspur FC     -  West Ham United FC</t>
  </si>
  <si>
    <t xml:space="preserve">  West Bromwich Albion FC  -  Burnley FC</t>
  </si>
  <si>
    <t>Matchday 6</t>
  </si>
  <si>
    <t>[Sat Oct/24]</t>
  </si>
  <si>
    <t xml:space="preserve">  Arsenal FC               -  Leicester City FC</t>
  </si>
  <si>
    <t xml:space="preserve">  Aston Villa FC           -  Leeds United FC</t>
  </si>
  <si>
    <t xml:space="preserve">  Brighton &amp; Hove Albion FC  -  West Bromwich Albion FC</t>
  </si>
  <si>
    <t xml:space="preserve">  Burnley FC               -  Tottenham Hotspur FC</t>
  </si>
  <si>
    <t xml:space="preserve">  Fulham FC                -  Crystal Palace FC</t>
  </si>
  <si>
    <t xml:space="preserve">  Liverpool FC             -  Sheffield United FC</t>
  </si>
  <si>
    <t xml:space="preserve">  Manchester United        -  Chelsea FC</t>
  </si>
  <si>
    <t xml:space="preserve">  Southampton FC           -  Everton FC</t>
  </si>
  <si>
    <t xml:space="preserve">  West Ham United FC       -  Manchester City FC</t>
  </si>
  <si>
    <t xml:space="preserve">  Wolverhampton Wanderers FC  -  Newcastle United FC</t>
  </si>
  <si>
    <t>Matchday 7</t>
  </si>
  <si>
    <t>[Sat Oct/31]</t>
  </si>
  <si>
    <t xml:space="preserve">  Aston Villa FC           -  Southampton FC</t>
  </si>
  <si>
    <t xml:space="preserve">  Burnley FC               -  Chelsea FC</t>
  </si>
  <si>
    <t xml:space="preserve">  Fulham FC                -  West Bromwich Albion FC</t>
  </si>
  <si>
    <t xml:space="preserve">  Leeds United FC          -  Leicester City FC</t>
  </si>
  <si>
    <t xml:space="preserve">  Liverpool FC             -  West Ham United FC</t>
  </si>
  <si>
    <t xml:space="preserve">  Manchester United        -  Arsenal FC</t>
  </si>
  <si>
    <t xml:space="preserve">  Newcastle United FC      -  Everton FC</t>
  </si>
  <si>
    <t xml:space="preserve">  Sheffield United FC      -  Manchester City FC</t>
  </si>
  <si>
    <t xml:space="preserve">  Tottenham Hotspur FC     -  Brighton &amp; Hove Albion FC</t>
  </si>
  <si>
    <t xml:space="preserve">  Wolverhampton Wanderers FC  -  Crystal Palace FC</t>
  </si>
  <si>
    <t>Matchday 8</t>
  </si>
  <si>
    <t>[Sat Nov/7]</t>
  </si>
  <si>
    <t xml:space="preserve">  Arsenal FC               -  Aston Villa FC</t>
  </si>
  <si>
    <t xml:space="preserve">  Brighton &amp; Hove Albion FC  -  Burnley FC</t>
  </si>
  <si>
    <t xml:space="preserve">  Chelsea FC               -  Sheffield United FC</t>
  </si>
  <si>
    <t xml:space="preserve">  Crystal Palace FC        -  Leeds United FC</t>
  </si>
  <si>
    <t xml:space="preserve">  Everton FC               -  Manchester United</t>
  </si>
  <si>
    <t xml:space="preserve">  Leicester City FC        -  Wolverhampton Wanderers FC</t>
  </si>
  <si>
    <t xml:space="preserve">  Manchester City FC       -  Liverpool FC</t>
  </si>
  <si>
    <t xml:space="preserve">  Southampton FC           -  Newcastle United FC</t>
  </si>
  <si>
    <t xml:space="preserve">  West Bromwich Albion FC  -  Tottenham Hotspur FC</t>
  </si>
  <si>
    <t xml:space="preserve">  West Ham United FC       -  Fulham FC</t>
  </si>
  <si>
    <t>Matchday 9</t>
  </si>
  <si>
    <t>[Sat Nov/21]</t>
  </si>
  <si>
    <t xml:space="preserve">  Aston Villa FC           -  Brighton &amp; Hove Albion FC</t>
  </si>
  <si>
    <t xml:space="preserve">  Burnley FC               -  Crystal Palace FC</t>
  </si>
  <si>
    <t xml:space="preserve">  Fulham FC                -  Everton FC</t>
  </si>
  <si>
    <t xml:space="preserve">  Leeds United FC          -  Arsenal FC</t>
  </si>
  <si>
    <t xml:space="preserve">  Liverpool FC             -  Leicester City FC</t>
  </si>
  <si>
    <t xml:space="preserve">  Manchester United        -  West Bromwich Albion FC</t>
  </si>
  <si>
    <t xml:space="preserve">  Newcastle United FC      -  Chelsea FC</t>
  </si>
  <si>
    <t xml:space="preserve">  Sheffield United FC      -  West Ham United FC</t>
  </si>
  <si>
    <t xml:space="preserve">  Tottenham Hotspur FC     -  Manchester City FC</t>
  </si>
  <si>
    <t xml:space="preserve">  Wolverhampton Wanderers FC  -  Southampton FC</t>
  </si>
  <si>
    <t>Matchday 10</t>
  </si>
  <si>
    <t>[Sat Nov/28]</t>
  </si>
  <si>
    <t xml:space="preserve">  Arsenal FC               -  Wolverhampton Wanderers FC</t>
  </si>
  <si>
    <t xml:space="preserve">  Brighton &amp; Hove Albion FC  -  Liverpool FC</t>
  </si>
  <si>
    <t xml:space="preserve">  Chelsea FC               -  Tottenham Hotspur FC</t>
  </si>
  <si>
    <t xml:space="preserve">  Crystal Palace FC        -  Newcastle United FC</t>
  </si>
  <si>
    <t xml:space="preserve">  Everton FC               -  Leeds United FC</t>
  </si>
  <si>
    <t xml:space="preserve">  Leicester City FC        -  Fulham FC</t>
  </si>
  <si>
    <t xml:space="preserve">  Manchester City FC       -  Burnley FC</t>
  </si>
  <si>
    <t xml:space="preserve">  Southampton FC           -  Manchester United</t>
  </si>
  <si>
    <t xml:space="preserve">  West Bromwich Albion FC  -  Sheffield United FC</t>
  </si>
  <si>
    <t xml:space="preserve">  West Ham United FC       -  Aston Villa FC</t>
  </si>
  <si>
    <t>Matchday 11</t>
  </si>
  <si>
    <t>[Sat Dec/5]</t>
  </si>
  <si>
    <t xml:space="preserve">  Aston Villa FC           -  Newcastle United FC</t>
  </si>
  <si>
    <t xml:space="preserve">  Brighton &amp; Hove Albion FC  -  Southampton FC</t>
  </si>
  <si>
    <t xml:space="preserve">  Burnley FC               -  Everton FC</t>
  </si>
  <si>
    <t xml:space="preserve">  Chelsea FC               -  Leeds United FC</t>
  </si>
  <si>
    <t xml:space="preserve">  Liverpool FC             -  Wolverhampton Wanderers FC</t>
  </si>
  <si>
    <t xml:space="preserve">  Manchester City FC       -  Fulham FC</t>
  </si>
  <si>
    <t xml:space="preserve">  Sheffield United FC      -  Leicester City FC</t>
  </si>
  <si>
    <t xml:space="preserve">  Tottenham Hotspur FC     -  Arsenal FC</t>
  </si>
  <si>
    <t xml:space="preserve">  West Bromwich Albion FC  -  Crystal Palace FC</t>
  </si>
  <si>
    <t xml:space="preserve">  West Ham United FC       -  Manchester United</t>
  </si>
  <si>
    <t>Matchday 12</t>
  </si>
  <si>
    <t>[Sat Dec/12]</t>
  </si>
  <si>
    <t xml:space="preserve">  Arsenal FC               -  Burnley FC</t>
  </si>
  <si>
    <t xml:space="preserve">  Crystal Palace FC        -  Tottenham Hotspur FC</t>
  </si>
  <si>
    <t xml:space="preserve">  Everton FC               -  Chelsea FC</t>
  </si>
  <si>
    <t xml:space="preserve">  Fulham FC                -  Liverpool FC</t>
  </si>
  <si>
    <t xml:space="preserve">  Leeds United FC          -  West Ham United FC</t>
  </si>
  <si>
    <t xml:space="preserve">  Leicester City FC        -  Brighton &amp; Hove Albion FC</t>
  </si>
  <si>
    <t xml:space="preserve">  Manchester United        -  Manchester City FC</t>
  </si>
  <si>
    <t xml:space="preserve">  Newcastle United FC      -  West Bromwich Albion FC</t>
  </si>
  <si>
    <t xml:space="preserve">  Southampton FC           -  Sheffield United FC</t>
  </si>
  <si>
    <t xml:space="preserve">  Wolverhampton Wanderers FC  -  Aston Villa FC</t>
  </si>
  <si>
    <t>Matchday 13</t>
  </si>
  <si>
    <t>[Tue Dec/15]</t>
  </si>
  <si>
    <t xml:space="preserve">  19.45  Arsenal FC               -  Southampton FC</t>
  </si>
  <si>
    <t xml:space="preserve">         Aston Villa FC           -  Burnley FC</t>
  </si>
  <si>
    <t xml:space="preserve">         Fulham FC                -  Brighton &amp; Hove Albion FC</t>
  </si>
  <si>
    <t xml:space="preserve">         Leeds United FC          -  Newcastle United FC</t>
  </si>
  <si>
    <t xml:space="preserve">         Leicester City FC        -  Everton FC</t>
  </si>
  <si>
    <t xml:space="preserve">         Sheffield United FC      -  Manchester United</t>
  </si>
  <si>
    <t xml:space="preserve">         West Ham United FC       -  Crystal Palace FC</t>
  </si>
  <si>
    <t xml:space="preserve">         Wolverhampton Wanderers FC  -  Chelsea FC</t>
  </si>
  <si>
    <t>[Wed Dec/16]</t>
  </si>
  <si>
    <t xml:space="preserve">  20.00  Liverpool FC             -  Tottenham Hotspur FC</t>
  </si>
  <si>
    <t xml:space="preserve">         Manchester City FC       -  West Bromwich Albion FC</t>
  </si>
  <si>
    <t>Matchday 14</t>
  </si>
  <si>
    <t>[Sat Dec/19]</t>
  </si>
  <si>
    <t xml:space="preserve">  Brighton &amp; Hove Albion FC  -  Sheffield United FC</t>
  </si>
  <si>
    <t xml:space="preserve">  Burnley FC               -  Wolverhampton Wanderers FC</t>
  </si>
  <si>
    <t xml:space="preserve">  Chelsea FC               -  West Ham United FC</t>
  </si>
  <si>
    <t xml:space="preserve">  Crystal Palace FC        -  Liverpool FC</t>
  </si>
  <si>
    <t xml:space="preserve">  Everton FC               -  Arsenal FC</t>
  </si>
  <si>
    <t xml:space="preserve">  Manchester United        -  Leeds United FC</t>
  </si>
  <si>
    <t xml:space="preserve">  Newcastle United FC      -  Fulham FC</t>
  </si>
  <si>
    <t xml:space="preserve">  Southampton FC           -  Manchester City FC</t>
  </si>
  <si>
    <t xml:space="preserve">  Tottenham Hotspur FC     -  Leicester City FC</t>
  </si>
  <si>
    <t xml:space="preserve">  West Bromwich Albion FC  -  Aston Villa FC</t>
  </si>
  <si>
    <t>Matchday 15</t>
  </si>
  <si>
    <t>[Sat Dec/26]</t>
  </si>
  <si>
    <t xml:space="preserve">  Arsenal FC               -  Chelsea FC</t>
  </si>
  <si>
    <t xml:space="preserve">  Aston Villa FC           -  Crystal Palace FC</t>
  </si>
  <si>
    <t xml:space="preserve">  Fulham FC                -  Southampton FC</t>
  </si>
  <si>
    <t xml:space="preserve">  Leeds United FC          -  Burnley FC</t>
  </si>
  <si>
    <t xml:space="preserve">  Leicester City FC        -  Manchester United</t>
  </si>
  <si>
    <t xml:space="preserve">  Liverpool FC             -  West Bromwich Albion FC</t>
  </si>
  <si>
    <t xml:space="preserve">  Manchester City FC       -  Newcastle United FC</t>
  </si>
  <si>
    <t xml:space="preserve">  Sheffield United FC      -  Everton FC</t>
  </si>
  <si>
    <t xml:space="preserve">  West Ham United FC       -  Brighton &amp; Hove Albion FC</t>
  </si>
  <si>
    <t xml:space="preserve">  Wolverhampton Wanderers FC  -  Tottenham Hotspur FC</t>
  </si>
  <si>
    <t>Matchday 16</t>
  </si>
  <si>
    <t>[Mon Dec/28]</t>
  </si>
  <si>
    <t xml:space="preserve">  Brighton &amp; Hove Albion FC  -  Arsenal FC</t>
  </si>
  <si>
    <t xml:space="preserve">  Burnley FC               -  Sheffield United FC</t>
  </si>
  <si>
    <t xml:space="preserve">  Chelsea FC               -  Aston Villa FC</t>
  </si>
  <si>
    <t xml:space="preserve">  Crystal Palace FC        -  Leicester City FC</t>
  </si>
  <si>
    <t xml:space="preserve">  Everton FC               -  Manchester City FC</t>
  </si>
  <si>
    <t xml:space="preserve">  Manchester United        -  Wolverhampton Wanderers FC</t>
  </si>
  <si>
    <t xml:space="preserve">  Newcastle United FC      -  Liverpool FC</t>
  </si>
  <si>
    <t xml:space="preserve">  Southampton FC           -  West Ham United FC</t>
  </si>
  <si>
    <t xml:space="preserve">  Tottenham Hotspur FC     -  Fulham FC</t>
  </si>
  <si>
    <t xml:space="preserve">  West Bromwich Albion FC  -  Leeds United FC</t>
  </si>
  <si>
    <t>Matchday 17</t>
  </si>
  <si>
    <t>[Sat Jan/2]</t>
  </si>
  <si>
    <t xml:space="preserve">  Brighton &amp; Hove Albion FC  -  Wolverhampton Wanderers FC</t>
  </si>
  <si>
    <t xml:space="preserve">  Burnley FC               -  Fulham FC</t>
  </si>
  <si>
    <t xml:space="preserve">  Chelsea FC               -  Manchester City FC</t>
  </si>
  <si>
    <t xml:space="preserve">  Crystal Palace FC        -  Sheffield United FC</t>
  </si>
  <si>
    <t xml:space="preserve">  Everton FC               -  West Ham United FC</t>
  </si>
  <si>
    <t xml:space="preserve">  Manchester United        -  Aston Villa FC</t>
  </si>
  <si>
    <t xml:space="preserve">  Newcastle United FC      -  Leicester City FC</t>
  </si>
  <si>
    <t xml:space="preserve">  Southampton FC           -  Liverpool FC</t>
  </si>
  <si>
    <t xml:space="preserve">  Tottenham Hotspur FC     -  Leeds United FC</t>
  </si>
  <si>
    <t xml:space="preserve">  West Bromwich Albion FC  -  Arsenal FC</t>
  </si>
  <si>
    <t>Matchday 18</t>
  </si>
  <si>
    <t>[Tue Jan/12]</t>
  </si>
  <si>
    <t xml:space="preserve">  19.45  Arsenal FC               -  Crystal Palace FC</t>
  </si>
  <si>
    <t xml:space="preserve">         Aston Villa FC           -  Tottenham Hotspur FC</t>
  </si>
  <si>
    <t xml:space="preserve">         Fulham FC                -  Manchester United</t>
  </si>
  <si>
    <t xml:space="preserve">         Leeds United FC          -  Southampton FC</t>
  </si>
  <si>
    <t xml:space="preserve">         Leicester City FC        -  Chelsea FC</t>
  </si>
  <si>
    <t xml:space="preserve">         Sheffield United FC      -  Newcastle United FC</t>
  </si>
  <si>
    <t xml:space="preserve">         West Ham United FC       -  West Bromwich Albion FC</t>
  </si>
  <si>
    <t xml:space="preserve">         Wolverhampton Wanderers FC  -  Everton FC</t>
  </si>
  <si>
    <t>[Wed Jan/13]</t>
  </si>
  <si>
    <t xml:space="preserve">  20.00  Liverpool FC             -  Burnley FC</t>
  </si>
  <si>
    <t xml:space="preserve">         Manchester City FC       -  Brighton &amp; Hove Albion FC</t>
  </si>
  <si>
    <t>Matchday 19</t>
  </si>
  <si>
    <t>[Sat Jan/16]</t>
  </si>
  <si>
    <t xml:space="preserve">  Arsenal FC               -  Newcastle United FC</t>
  </si>
  <si>
    <t xml:space="preserve">  Aston Villa FC           -  Everton FC</t>
  </si>
  <si>
    <t xml:space="preserve">  Fulham FC                -  Chelsea FC</t>
  </si>
  <si>
    <t xml:space="preserve">  Leeds United FC          -  Brighton &amp; Hove Albion FC</t>
  </si>
  <si>
    <t xml:space="preserve">  Leicester City FC        -  Southampton FC</t>
  </si>
  <si>
    <t xml:space="preserve">  Liverpool FC             -  Manchester United</t>
  </si>
  <si>
    <t xml:space="preserve">  Manchester City FC       -  Crystal Palace FC</t>
  </si>
  <si>
    <t xml:space="preserve">  Sheffield United FC      -  Tottenham Hotspur FC</t>
  </si>
  <si>
    <t xml:space="preserve">  West Ham United FC       -  Burnley FC</t>
  </si>
  <si>
    <t xml:space="preserve">  Wolverhampton Wanderers FC  -  West Bromwich Albion FC</t>
  </si>
  <si>
    <t>Matchday 20</t>
  </si>
  <si>
    <t>[Tue Jan/26]</t>
  </si>
  <si>
    <t xml:space="preserve">  19.45  Brighton &amp; Hove Albion FC  -  Fulham FC</t>
  </si>
  <si>
    <t xml:space="preserve">         Burnley FC               -  Aston Villa FC</t>
  </si>
  <si>
    <t xml:space="preserve">         Everton FC               -  Leicester City FC</t>
  </si>
  <si>
    <t xml:space="preserve">  20.00  Manchester United        -  Sheffield United FC</t>
  </si>
  <si>
    <t xml:space="preserve">         West Bromwich Albion FC  -  Manchester City FC</t>
  </si>
  <si>
    <t>[Wed Jan/27]</t>
  </si>
  <si>
    <t xml:space="preserve">  19.45  Chelsea FC               -  Wolverhampton Wanderers FC</t>
  </si>
  <si>
    <t xml:space="preserve">         Newcastle United FC      -  Leeds United FC</t>
  </si>
  <si>
    <t xml:space="preserve">         Southampton FC           -  Arsenal FC</t>
  </si>
  <si>
    <t xml:space="preserve">         Tottenham Hotspur FC     -  Liverpool FC</t>
  </si>
  <si>
    <t xml:space="preserve">  20.00  Crystal Palace FC        -  West Ham United FC</t>
  </si>
  <si>
    <t>Matchday 21</t>
  </si>
  <si>
    <t>[Sat Jan/30]</t>
  </si>
  <si>
    <t xml:space="preserve">  Arsenal FC               -  Manchester United</t>
  </si>
  <si>
    <t xml:space="preserve">  Brighton &amp; Hove Albion FC  -  Tottenham Hotspur FC</t>
  </si>
  <si>
    <t xml:space="preserve">  Chelsea FC               -  Burnley FC</t>
  </si>
  <si>
    <t xml:space="preserve">  Crystal Palace FC        -  Wolverhampton Wanderers FC</t>
  </si>
  <si>
    <t xml:space="preserve">  Everton FC               -  Newcastle United FC</t>
  </si>
  <si>
    <t xml:space="preserve">  Leicester City FC        -  Leeds United FC</t>
  </si>
  <si>
    <t xml:space="preserve">  Manchester City FC       -  Sheffield United FC</t>
  </si>
  <si>
    <t xml:space="preserve">  Southampton FC           -  Aston Villa FC</t>
  </si>
  <si>
    <t xml:space="preserve">  West Bromwich Albion FC  -  Fulham FC</t>
  </si>
  <si>
    <t xml:space="preserve">  West Ham United FC       -  Liverpool FC</t>
  </si>
  <si>
    <t>Matchday 22</t>
  </si>
  <si>
    <t>[Tue Feb/2]</t>
  </si>
  <si>
    <t xml:space="preserve">  19.45  Aston Villa FC           -  West Ham United FC</t>
  </si>
  <si>
    <t xml:space="preserve">         Burnley FC               -  Manchester City FC</t>
  </si>
  <si>
    <t xml:space="preserve">         Fulham FC                -  Leicester City FC</t>
  </si>
  <si>
    <t xml:space="preserve">         Leeds United FC          -  Everton FC</t>
  </si>
  <si>
    <t xml:space="preserve">         Sheffield United FC      -  West Bromwich Albion FC</t>
  </si>
  <si>
    <t xml:space="preserve">         Wolverhampton Wanderers FC  -  Arsenal FC</t>
  </si>
  <si>
    <t xml:space="preserve">  20.00  Manchester United        -  Southampton FC</t>
  </si>
  <si>
    <t>[Wed Feb/3]</t>
  </si>
  <si>
    <t xml:space="preserve">  19.45  Newcastle United FC      -  Crystal Palace FC</t>
  </si>
  <si>
    <t xml:space="preserve">         Tottenham Hotspur FC     -  Chelsea FC</t>
  </si>
  <si>
    <t xml:space="preserve">  20.00  Liverpool FC             -  Brighton &amp; Hove Albion FC</t>
  </si>
  <si>
    <t>Matchday 23</t>
  </si>
  <si>
    <t>[Sat Feb/6]</t>
  </si>
  <si>
    <t xml:space="preserve">  Aston Villa FC           -  Arsenal FC</t>
  </si>
  <si>
    <t xml:space="preserve">  Burnley FC               -  Brighton &amp; Hove Albion FC</t>
  </si>
  <si>
    <t xml:space="preserve">  Fulham FC                -  West Ham United FC</t>
  </si>
  <si>
    <t xml:space="preserve">  Leeds United FC          -  Crystal Palace FC</t>
  </si>
  <si>
    <t xml:space="preserve">  Liverpool FC             -  Manchester City FC</t>
  </si>
  <si>
    <t xml:space="preserve">  Manchester United        -  Everton FC</t>
  </si>
  <si>
    <t xml:space="preserve">  Newcastle United FC      -  Southampton FC</t>
  </si>
  <si>
    <t xml:space="preserve">  Sheffield United FC      -  Chelsea FC</t>
  </si>
  <si>
    <t xml:space="preserve">  Tottenham Hotspur FC     -  West Bromwich Albion FC</t>
  </si>
  <si>
    <t xml:space="preserve">  Wolverhampton Wanderers FC  -  Leicester City FC</t>
  </si>
  <si>
    <t>Matchday 24</t>
  </si>
  <si>
    <t>[Sat Feb/13]</t>
  </si>
  <si>
    <t xml:space="preserve">  Arsenal FC               -  Leeds United FC</t>
  </si>
  <si>
    <t xml:space="preserve">  Brighton &amp; Hove Albion FC  -  Aston Villa FC</t>
  </si>
  <si>
    <t xml:space="preserve">  Chelsea FC               -  Newcastle United FC</t>
  </si>
  <si>
    <t xml:space="preserve">  Crystal Palace FC        -  Burnley FC</t>
  </si>
  <si>
    <t xml:space="preserve">  Everton FC               -  Fulham FC</t>
  </si>
  <si>
    <t xml:space="preserve">  Leicester City FC        -  Liverpool FC</t>
  </si>
  <si>
    <t xml:space="preserve">  Manchester City FC       -  Tottenham Hotspur FC</t>
  </si>
  <si>
    <t xml:space="preserve">  Southampton FC           -  Wolverhampton Wanderers FC</t>
  </si>
  <si>
    <t xml:space="preserve">  West Bromwich Albion FC  -  Manchester United</t>
  </si>
  <si>
    <t xml:space="preserve">  West Ham United FC       -  Sheffield United FC</t>
  </si>
  <si>
    <t>Matchday 25</t>
  </si>
  <si>
    <t>[Sat Feb/20]</t>
  </si>
  <si>
    <t xml:space="preserve">  Arsenal FC               -  Manchester City FC</t>
  </si>
  <si>
    <t xml:space="preserve">  Aston Villa FC           -  Leicester City FC</t>
  </si>
  <si>
    <t xml:space="preserve">  Brighton &amp; Hove Albion FC  -  Crystal Palace FC</t>
  </si>
  <si>
    <t xml:space="preserve">  Burnley FC               -  West Bromwich Albion FC</t>
  </si>
  <si>
    <t xml:space="preserve">  Fulham FC                -  Sheffield United FC</t>
  </si>
  <si>
    <t xml:space="preserve">  Liverpool FC             -  Everton FC</t>
  </si>
  <si>
    <t xml:space="preserve">  Manchester United        -  Newcastle United FC</t>
  </si>
  <si>
    <t xml:space="preserve">  Southampton FC           -  Chelsea FC</t>
  </si>
  <si>
    <t xml:space="preserve">  West Ham United FC       -  Tottenham Hotspur FC</t>
  </si>
  <si>
    <t xml:space="preserve">  Wolverhampton Wanderers FC  -  Leeds United FC</t>
  </si>
  <si>
    <t>Matchday 26</t>
  </si>
  <si>
    <t>[Sat Feb/27]</t>
  </si>
  <si>
    <t xml:space="preserve">  Chelsea FC               -  Manchester United</t>
  </si>
  <si>
    <t xml:space="preserve">  Crystal Palace FC        -  Fulham FC</t>
  </si>
  <si>
    <t xml:space="preserve">  Everton FC               -  Southampton FC</t>
  </si>
  <si>
    <t xml:space="preserve">  Leeds United FC          -  Aston Villa FC</t>
  </si>
  <si>
    <t xml:space="preserve">  Leicester City FC        -  Arsenal FC</t>
  </si>
  <si>
    <t xml:space="preserve">  Manchester City FC       -  West Ham United FC</t>
  </si>
  <si>
    <t xml:space="preserve">  Newcastle United FC      -  Wolverhampton Wanderers FC</t>
  </si>
  <si>
    <t xml:space="preserve">  Sheffield United FC      -  Liverpool FC</t>
  </si>
  <si>
    <t xml:space="preserve">  Tottenham Hotspur FC     -  Burnley FC</t>
  </si>
  <si>
    <t xml:space="preserve">  West Bromwich Albion FC  -  Brighton &amp; Hove Albion FC</t>
  </si>
  <si>
    <t>Matchday 27</t>
  </si>
  <si>
    <t>[Sat Mar/6]</t>
  </si>
  <si>
    <t xml:space="preserve">  Aston Villa FC           -  Wolverhampton Wanderers FC</t>
  </si>
  <si>
    <t xml:space="preserve">  Brighton &amp; Hove Albion FC  -  Leicester City FC</t>
  </si>
  <si>
    <t xml:space="preserve">  Burnley FC               -  Arsenal FC</t>
  </si>
  <si>
    <t xml:space="preserve">  Chelsea FC               -  Everton FC</t>
  </si>
  <si>
    <t xml:space="preserve">  Liverpool FC             -  Fulham FC</t>
  </si>
  <si>
    <t xml:space="preserve">  Manchester City FC       -  Manchester United</t>
  </si>
  <si>
    <t xml:space="preserve">  Sheffield United FC      -  Southampton FC</t>
  </si>
  <si>
    <t xml:space="preserve">  Tottenham Hotspur FC     -  Crystal Palace FC</t>
  </si>
  <si>
    <t xml:space="preserve">  West Bromwich Albion FC  -  Newcastle United FC</t>
  </si>
  <si>
    <t xml:space="preserve">  West Ham United FC       -  Leeds United FC</t>
  </si>
  <si>
    <t>Matchday 28</t>
  </si>
  <si>
    <t>[Sat Mar/13]</t>
  </si>
  <si>
    <t xml:space="preserve">  Arsenal FC               -  Tottenham Hotspur FC</t>
  </si>
  <si>
    <t xml:space="preserve">  Crystal Palace FC        -  West Bromwich Albion FC</t>
  </si>
  <si>
    <t xml:space="preserve">  Everton FC               -  Burnley FC</t>
  </si>
  <si>
    <t xml:space="preserve">  Fulham FC                -  Manchester City FC</t>
  </si>
  <si>
    <t xml:space="preserve">  Leeds United FC          -  Chelsea FC</t>
  </si>
  <si>
    <t xml:space="preserve">  Leicester City FC        -  Sheffield United FC</t>
  </si>
  <si>
    <t xml:space="preserve">  Manchester United        -  West Ham United FC</t>
  </si>
  <si>
    <t xml:space="preserve">  Newcastle United FC      -  Aston Villa FC</t>
  </si>
  <si>
    <t xml:space="preserve">  Southampton FC           -  Brighton &amp; Hove Albion FC</t>
  </si>
  <si>
    <t xml:space="preserve">  Wolverhampton Wanderers FC  -  Liverpool FC</t>
  </si>
  <si>
    <t>Matchday 29</t>
  </si>
  <si>
    <t>[Sat Mar/20]</t>
  </si>
  <si>
    <t xml:space="preserve">  Brighton &amp; Hove Albion FC  -  Newcastle United FC</t>
  </si>
  <si>
    <t xml:space="preserve">  Burnley FC               -  Leicester City FC</t>
  </si>
  <si>
    <t xml:space="preserve">  Crystal Palace FC        -  Manchester United</t>
  </si>
  <si>
    <t xml:space="preserve">  Fulham FC                -  Leeds United FC</t>
  </si>
  <si>
    <t xml:space="preserve">  Liverpool FC             -  Chelsea FC</t>
  </si>
  <si>
    <t xml:space="preserve">  Manchester City FC       -  Wolverhampton Wanderers FC</t>
  </si>
  <si>
    <t xml:space="preserve">  Sheffield United FC      -  Aston Villa FC</t>
  </si>
  <si>
    <t xml:space="preserve">  Tottenham Hotspur FC     -  Southampton FC</t>
  </si>
  <si>
    <t xml:space="preserve">  West Bromwich Albion FC  -  Everton FC</t>
  </si>
  <si>
    <t xml:space="preserve">  West Ham United FC       -  Arsenal FC</t>
  </si>
  <si>
    <t>Matchday 30</t>
  </si>
  <si>
    <t>[Sat Apr/3]</t>
  </si>
  <si>
    <t xml:space="preserve">  Arsenal FC               -  Liverpool FC</t>
  </si>
  <si>
    <t xml:space="preserve">  Aston Villa FC           -  Fulham FC</t>
  </si>
  <si>
    <t xml:space="preserve">  Chelsea FC               -  West Bromwich Albion FC</t>
  </si>
  <si>
    <t xml:space="preserve">  Everton FC               -  Crystal Palace FC</t>
  </si>
  <si>
    <t xml:space="preserve">  Leeds United FC          -  Sheffield United FC</t>
  </si>
  <si>
    <t xml:space="preserve">  Leicester City FC        -  Manchester City FC</t>
  </si>
  <si>
    <t xml:space="preserve">  Manchester United        -  Brighton &amp; Hove Albion FC</t>
  </si>
  <si>
    <t xml:space="preserve">  Newcastle United FC      -  Tottenham Hotspur FC</t>
  </si>
  <si>
    <t xml:space="preserve">  Southampton FC           -  Burnley FC</t>
  </si>
  <si>
    <t xml:space="preserve">  Wolverhampton Wanderers FC  -  West Ham United FC</t>
  </si>
  <si>
    <t>Matchday 31</t>
  </si>
  <si>
    <t>[Sat Apr/10]</t>
  </si>
  <si>
    <t xml:space="preserve">  Brighton &amp; Hove Albion FC  -  Everton FC</t>
  </si>
  <si>
    <t xml:space="preserve">  Burnley FC               -  Newcastle United FC</t>
  </si>
  <si>
    <t xml:space="preserve">  Crystal Palace FC        -  Chelsea FC</t>
  </si>
  <si>
    <t xml:space="preserve">  Fulham FC                -  Wolverhampton Wanderers FC</t>
  </si>
  <si>
    <t xml:space="preserve">  Liverpool FC             -  Aston Villa FC</t>
  </si>
  <si>
    <t xml:space="preserve">  Manchester City FC       -  Leeds United FC</t>
  </si>
  <si>
    <t xml:space="preserve">  Sheffield United FC      -  Arsenal FC</t>
  </si>
  <si>
    <t xml:space="preserve">  Tottenham Hotspur FC     -  Manchester United</t>
  </si>
  <si>
    <t xml:space="preserve">  West Bromwich Albion FC  -  Southampton FC</t>
  </si>
  <si>
    <t xml:space="preserve">  West Ham United FC       -  Leicester City FC</t>
  </si>
  <si>
    <t>Matchday 32</t>
  </si>
  <si>
    <t>[Sat Apr/17]</t>
  </si>
  <si>
    <t xml:space="preserve">  Arsenal FC               -  Fulham FC</t>
  </si>
  <si>
    <t xml:space="preserve">  Aston Villa FC           -  Manchester City FC</t>
  </si>
  <si>
    <t xml:space="preserve">  Chelsea FC               -  Brighton &amp; Hove Albion FC</t>
  </si>
  <si>
    <t xml:space="preserve">  Everton FC               -  Tottenham Hotspur FC</t>
  </si>
  <si>
    <t xml:space="preserve">  Leeds United FC          -  Liverpool FC</t>
  </si>
  <si>
    <t xml:space="preserve">  Leicester City FC        -  West Bromwich Albion FC</t>
  </si>
  <si>
    <t xml:space="preserve">  Manchester United        -  Burnley FC</t>
  </si>
  <si>
    <t xml:space="preserve">  Newcastle United FC      -  West Ham United FC</t>
  </si>
  <si>
    <t xml:space="preserve">  Southampton FC           -  Crystal Palace FC</t>
  </si>
  <si>
    <t xml:space="preserve">  Wolverhampton Wanderers FC  -  Sheffield United FC</t>
  </si>
  <si>
    <t>Matchday 33</t>
  </si>
  <si>
    <t>[Sat Apr/24]</t>
  </si>
  <si>
    <t xml:space="preserve">  Arsenal FC               -  Everton FC</t>
  </si>
  <si>
    <t xml:space="preserve">  Aston Villa FC           -  West Bromwich Albion FC</t>
  </si>
  <si>
    <t xml:space="preserve">  Fulham FC                -  Tottenham Hotspur FC</t>
  </si>
  <si>
    <t xml:space="preserve">  Leeds United FC          -  Manchester United</t>
  </si>
  <si>
    <t xml:space="preserve">  Leicester City FC        -  Crystal Palace FC</t>
  </si>
  <si>
    <t xml:space="preserve">  Liverpool FC             -  Newcastle United FC</t>
  </si>
  <si>
    <t xml:space="preserve">  Manchester City FC       -  Southampton FC</t>
  </si>
  <si>
    <t xml:space="preserve">  Sheffield United FC      -  Brighton &amp; Hove Albion FC</t>
  </si>
  <si>
    <t xml:space="preserve">  West Ham United FC       -  Chelsea FC</t>
  </si>
  <si>
    <t xml:space="preserve">  Wolverhampton Wanderers FC  -  Burnley FC</t>
  </si>
  <si>
    <t>Matchday 34</t>
  </si>
  <si>
    <t>[Sat May/1]</t>
  </si>
  <si>
    <t xml:space="preserve">  Brighton &amp; Hove Albion FC  -  Leeds United FC</t>
  </si>
  <si>
    <t xml:space="preserve">  Burnley FC               -  West Ham United FC</t>
  </si>
  <si>
    <t xml:space="preserve">  Chelsea FC               -  Fulham FC</t>
  </si>
  <si>
    <t xml:space="preserve">  Crystal Palace FC        -  Manchester City FC</t>
  </si>
  <si>
    <t xml:space="preserve">  Everton FC               -  Aston Villa FC</t>
  </si>
  <si>
    <t xml:space="preserve">  Manchester United        -  Liverpool FC</t>
  </si>
  <si>
    <t xml:space="preserve">  Newcastle United FC      -  Arsenal FC</t>
  </si>
  <si>
    <t xml:space="preserve">  Southampton FC           -  Leicester City FC</t>
  </si>
  <si>
    <t xml:space="preserve">  Tottenham Hotspur FC     -  Sheffield United FC</t>
  </si>
  <si>
    <t xml:space="preserve">  West Bromwich Albion FC  -  Wolverhampton Wanderers FC</t>
  </si>
  <si>
    <t>Matchday 35</t>
  </si>
  <si>
    <t>[Sat May/8]</t>
  </si>
  <si>
    <t xml:space="preserve">  Arsenal FC               -  West Bromwich Albion FC</t>
  </si>
  <si>
    <t xml:space="preserve">  Aston Villa FC           -  Manchester United</t>
  </si>
  <si>
    <t xml:space="preserve">  Fulham FC                -  Burnley FC</t>
  </si>
  <si>
    <t xml:space="preserve">  Leeds United FC          -  Tottenham Hotspur FC</t>
  </si>
  <si>
    <t xml:space="preserve">  Leicester City FC        -  Newcastle United FC</t>
  </si>
  <si>
    <t xml:space="preserve">  Liverpool FC             -  Southampton FC</t>
  </si>
  <si>
    <t xml:space="preserve">  Manchester City FC       -  Chelsea FC</t>
  </si>
  <si>
    <t xml:space="preserve">  Sheffield United FC      -  Crystal Palace FC</t>
  </si>
  <si>
    <t xml:space="preserve">  West Ham United FC       -  Everton FC</t>
  </si>
  <si>
    <t xml:space="preserve">  Wolverhampton Wanderers FC  -  Brighton &amp; Hove Albion FC</t>
  </si>
  <si>
    <t>Matchday 36</t>
  </si>
  <si>
    <t>[Tue May/11]</t>
  </si>
  <si>
    <t xml:space="preserve">  19.45  Brighton &amp; Hove Albion FC  -  West Ham United FC</t>
  </si>
  <si>
    <t xml:space="preserve">         Burnley FC               -  Leeds United FC</t>
  </si>
  <si>
    <t xml:space="preserve">         Everton FC               -  Sheffield United FC</t>
  </si>
  <si>
    <t xml:space="preserve">  20.00  Manchester United        -  Leicester City FC</t>
  </si>
  <si>
    <t xml:space="preserve">         West Bromwich Albion FC  -  Liverpool FC</t>
  </si>
  <si>
    <t>[Wed May/12]</t>
  </si>
  <si>
    <t xml:space="preserve">  19.45  Chelsea FC               -  Arsenal FC</t>
  </si>
  <si>
    <t xml:space="preserve">         Newcastle United FC      -  Manchester City FC</t>
  </si>
  <si>
    <t xml:space="preserve">         Southampton FC           -  Fulham FC</t>
  </si>
  <si>
    <t xml:space="preserve">         Tottenham Hotspur FC     -  Wolverhampton Wanderers FC</t>
  </si>
  <si>
    <t xml:space="preserve">  20.00  Crystal Palace FC        -  Aston Villa FC</t>
  </si>
  <si>
    <t>Matchday 37</t>
  </si>
  <si>
    <t>[Sat May/15]</t>
  </si>
  <si>
    <t xml:space="preserve">  Brighton &amp; Hove Albion FC  -  Manchester City FC</t>
  </si>
  <si>
    <t xml:space="preserve">  Burnley FC               -  Liverpool FC</t>
  </si>
  <si>
    <t xml:space="preserve">  Chelsea FC               -  Leicester City FC</t>
  </si>
  <si>
    <t xml:space="preserve">  Crystal Palace FC        -  Arsenal FC</t>
  </si>
  <si>
    <t xml:space="preserve">  Everton FC               -  Wolverhampton Wanderers FC</t>
  </si>
  <si>
    <t xml:space="preserve">  Manchester United        -  Fulham FC</t>
  </si>
  <si>
    <t xml:space="preserve">  Newcastle United FC      -  Sheffield United FC</t>
  </si>
  <si>
    <t xml:space="preserve">  Southampton FC           -  Leeds United FC</t>
  </si>
  <si>
    <t xml:space="preserve">  Tottenham Hotspur FC     -  Aston Villa FC</t>
  </si>
  <si>
    <t xml:space="preserve">  West Bromwich Albion FC  -  West Ham United FC</t>
  </si>
  <si>
    <t>Matchday 38</t>
  </si>
  <si>
    <t>[Sun May/23]</t>
  </si>
  <si>
    <t xml:space="preserve">  16.00  Arsenal FC               -  Brighton &amp; Hove Albion FC</t>
  </si>
  <si>
    <t xml:space="preserve">         Aston Villa FC           -  Chelsea FC</t>
  </si>
  <si>
    <t xml:space="preserve">         Fulham FC                -  Newcastle United FC</t>
  </si>
  <si>
    <t xml:space="preserve">         Leeds United FC          -  West Bromwich Albion FC</t>
  </si>
  <si>
    <t xml:space="preserve">         Leicester City FC        -  Tottenham Hotspur FC</t>
  </si>
  <si>
    <t xml:space="preserve">         Liverpool FC             -  Crystal Palace FC</t>
  </si>
  <si>
    <t xml:space="preserve">         Manchester City FC       -  Everton FC</t>
  </si>
  <si>
    <t xml:space="preserve">         Sheffield United FC      -  Burnley FC</t>
  </si>
  <si>
    <t xml:space="preserve">         West Ham United FC       -  Southampton FC</t>
  </si>
  <si>
    <t xml:space="preserve">         Wolverhampton Wanderers FC  -  Manchester United</t>
  </si>
  <si>
    <t>Time</t>
  </si>
  <si>
    <t>Home team</t>
  </si>
  <si>
    <t>Score</t>
  </si>
  <si>
    <t>Away Team</t>
  </si>
  <si>
    <t>Score half</t>
  </si>
  <si>
    <t>Date</t>
  </si>
  <si>
    <t>Matchday</t>
  </si>
  <si>
    <t/>
  </si>
  <si>
    <t xml:space="preserve">Burnley FC </t>
  </si>
  <si>
    <t xml:space="preserve"> - </t>
  </si>
  <si>
    <t>Manchester United</t>
  </si>
  <si>
    <t xml:space="preserve">Manchester City FC </t>
  </si>
  <si>
    <t>Aston Villa FC</t>
  </si>
  <si>
    <t>Fulham FC</t>
  </si>
  <si>
    <t>0-3</t>
  </si>
  <si>
    <t>0-1</t>
  </si>
  <si>
    <t>Arsenal FC</t>
  </si>
  <si>
    <t>Crystal Palace FC</t>
  </si>
  <si>
    <t>1-0</t>
  </si>
  <si>
    <t>Southampton FC</t>
  </si>
  <si>
    <t>Liverpool FC</t>
  </si>
  <si>
    <t>4-3</t>
  </si>
  <si>
    <t>3-2</t>
  </si>
  <si>
    <t>Leeds United FC</t>
  </si>
  <si>
    <t>West Ham United FC</t>
  </si>
  <si>
    <t>0-2</t>
  </si>
  <si>
    <t>0-0</t>
  </si>
  <si>
    <t>Newcastle United FC</t>
  </si>
  <si>
    <t>West Bromwich Albion FC</t>
  </si>
  <si>
    <t>Leicester City FC</t>
  </si>
  <si>
    <t>Tottenham Hotspur FC</t>
  </si>
  <si>
    <t>Everton FC</t>
  </si>
  <si>
    <t>Sheffield United FC</t>
  </si>
  <si>
    <t>Wolverhampton Wanderers FC</t>
  </si>
  <si>
    <t>1-3</t>
  </si>
  <si>
    <t>Chelsea FC</t>
  </si>
  <si>
    <t>5-2</t>
  </si>
  <si>
    <t>2-1</t>
  </si>
  <si>
    <t xml:space="preserve">Manchester United   </t>
  </si>
  <si>
    <t>1-1</t>
  </si>
  <si>
    <t>2-5</t>
  </si>
  <si>
    <t>4-2</t>
  </si>
  <si>
    <t>Burnley FC</t>
  </si>
  <si>
    <t>Manchester City FC</t>
  </si>
  <si>
    <t>2-3</t>
  </si>
  <si>
    <t>1-2</t>
  </si>
  <si>
    <t>3-3</t>
  </si>
  <si>
    <t>3-0</t>
  </si>
  <si>
    <t>4-0</t>
  </si>
  <si>
    <t>3-1</t>
  </si>
  <si>
    <t xml:space="preserve">       Southampton FC </t>
  </si>
  <si>
    <t>2-0</t>
  </si>
  <si>
    <t>(1-0)  West Bromwich Albion FC</t>
  </si>
  <si>
    <t xml:space="preserve">       Wolverhampton Wanderers FC </t>
  </si>
  <si>
    <t>(0-0)  Fulham FC</t>
  </si>
  <si>
    <t>1-6</t>
  </si>
  <si>
    <t>1-4</t>
  </si>
  <si>
    <t>7-2</t>
  </si>
  <si>
    <t>4-1</t>
  </si>
  <si>
    <t xml:space="preserve">Chelsea FC </t>
  </si>
  <si>
    <t xml:space="preserve">Crystal Palace FC </t>
  </si>
  <si>
    <t xml:space="preserve">Everton FC </t>
  </si>
  <si>
    <t xml:space="preserve">Leeds United FC </t>
  </si>
  <si>
    <t xml:space="preserve">Leicester City FC </t>
  </si>
  <si>
    <t xml:space="preserve">Newcastle United FC </t>
  </si>
  <si>
    <t xml:space="preserve">Sheffield United FC </t>
  </si>
  <si>
    <t xml:space="preserve">Tottenham Hotspur FC </t>
  </si>
  <si>
    <t xml:space="preserve">West Bromwich Albion FC </t>
  </si>
  <si>
    <t xml:space="preserve">Arsenal FC </t>
  </si>
  <si>
    <t xml:space="preserve">Aston Villa FC </t>
  </si>
  <si>
    <t xml:space="preserve">Fulham FC </t>
  </si>
  <si>
    <t xml:space="preserve">Liverpool FC </t>
  </si>
  <si>
    <t xml:space="preserve">Manchester United    </t>
  </si>
  <si>
    <t xml:space="preserve">Southampton FC </t>
  </si>
  <si>
    <t xml:space="preserve">West Ham United FC </t>
  </si>
  <si>
    <t xml:space="preserve">Wolverhampton Wanderers FC </t>
  </si>
  <si>
    <t>pton FC</t>
  </si>
  <si>
    <t xml:space="preserve">       Aston Villa FC </t>
  </si>
  <si>
    <t xml:space="preserve">       Fulham FC </t>
  </si>
  <si>
    <t xml:space="preserve">       Leeds United FC </t>
  </si>
  <si>
    <t xml:space="preserve">       Leicester City FC </t>
  </si>
  <si>
    <t xml:space="preserve">       Sheffield United FC </t>
  </si>
  <si>
    <t xml:space="preserve">       West Ham United FC </t>
  </si>
  <si>
    <t>am Hotspur FC</t>
  </si>
  <si>
    <t xml:space="preserve">       Manchester City FC </t>
  </si>
  <si>
    <t xml:space="preserve"> Palace FC</t>
  </si>
  <si>
    <t xml:space="preserve"> FC</t>
  </si>
  <si>
    <t>FC</t>
  </si>
  <si>
    <t xml:space="preserve">       Burnley FC </t>
  </si>
  <si>
    <t xml:space="preserve">       Everton FC </t>
  </si>
  <si>
    <t>ld United FC</t>
  </si>
  <si>
    <t xml:space="preserve">       West Bromwich Albion FC </t>
  </si>
  <si>
    <t>ampton Wanderers FC</t>
  </si>
  <si>
    <t xml:space="preserve">       Newcastle United FC </t>
  </si>
  <si>
    <t xml:space="preserve">       Tottenham Hotspur FC </t>
  </si>
  <si>
    <t>m United FC</t>
  </si>
  <si>
    <t>er City FC</t>
  </si>
  <si>
    <t>illa FC</t>
  </si>
  <si>
    <t xml:space="preserve">       Liverpool FC </t>
  </si>
  <si>
    <t xml:space="preserve">  12.30  Everton FC               2-2 (1-1)  Liverpool FC</t>
  </si>
  <si>
    <t xml:space="preserve">  15.00  Chelsea FC               3-3 (2-1)  Southampton FC</t>
  </si>
  <si>
    <t xml:space="preserve">  17.30  Manchester City FC       1-0 (1-0)  Arsenal FC</t>
  </si>
  <si>
    <t xml:space="preserve">  20.00  Newcastle United FC      1-4 (1-1)  Manchester United</t>
  </si>
  <si>
    <t>[Sun Oct/18]</t>
  </si>
  <si>
    <t xml:space="preserve">  12.00  Sheffield United FC      1-1 (0-0)  Fulham FC</t>
  </si>
  <si>
    <t xml:space="preserve">  14.00  Crystal Palace FC        1-1 (1-0)  Brighton &amp; Hove Albion FC</t>
  </si>
  <si>
    <t xml:space="preserve">  16.30  Tottenham Hotspur FC     3-3 (3-0)  West Ham United FC</t>
  </si>
  <si>
    <t xml:space="preserve">  19.15  Leicester City FC        0-1 (0-0)  Aston Villa FC</t>
  </si>
  <si>
    <t>[Mon Oct/19]</t>
  </si>
  <si>
    <t xml:space="preserve">  17.30  West Bromwich Albion FC  0-0  Burnley FC</t>
  </si>
  <si>
    <t xml:space="preserve">  20.00  Leeds United FC          0-1 (0-0)  Wolverhampton Wanderers FC</t>
  </si>
  <si>
    <t>[Fri Oct/23]</t>
  </si>
  <si>
    <t xml:space="preserve">  20.00  Aston Villa FC           0-3 (0-0)  Leeds United FC</t>
  </si>
  <si>
    <t xml:space="preserve">  12.30  West Ham United FC       1-1 (1-0)  Manchester City FC</t>
  </si>
  <si>
    <t xml:space="preserve">  15.00  Fulham FC                1-2 (0-1)  Crystal Palace FC</t>
  </si>
  <si>
    <t xml:space="preserve">  17.30  Manchester United        0-0  Chelsea FC</t>
  </si>
  <si>
    <t xml:space="preserve">  20.00  Liverpool FC             2-1 (1-1)  Sheffield United FC</t>
  </si>
  <si>
    <t>[Sun Oct/25]</t>
  </si>
  <si>
    <t xml:space="preserve">  14.00  Southampton FC           2-0 (2-0)  Everton FC</t>
  </si>
  <si>
    <t xml:space="preserve">  16.30  Wolverhampton Wanderers FC  1-1 (0-0)  Newcastle United FC</t>
  </si>
  <si>
    <t xml:space="preserve">  19.15  Arsenal FC               0-1 (0-0)  Leicester City FC</t>
  </si>
  <si>
    <t>[Mon Oct/26]</t>
  </si>
  <si>
    <t xml:space="preserve">  17.30  Brighton &amp; Hove Albion FC  1-1 (1-0)  West Bromwich Albion FC</t>
  </si>
  <si>
    <t xml:space="preserve">  20.00  Burnley FC               0-1 (0-0)  Tottenham Hotspur FC</t>
  </si>
  <si>
    <t>[Fri Oct/30]</t>
  </si>
  <si>
    <t xml:space="preserve">  20.00  Wolverhampton Wanderers FC  2-0 (2-0)  Crystal Palace FC</t>
  </si>
  <si>
    <t xml:space="preserve">  12.30  Sheffield United FC      0-1 (0-1)  Manchester City FC</t>
  </si>
  <si>
    <t xml:space="preserve">  15.00  Burnley FC               0-3 (0-1)  Chelsea FC</t>
  </si>
  <si>
    <t xml:space="preserve">  17.30  Liverpool FC             2-1 (1-1)  West Ham United FC</t>
  </si>
  <si>
    <t>[Sun Nov/1]</t>
  </si>
  <si>
    <t xml:space="preserve">  12.00  Aston Villa FC           3-4 (0-3)  Southampton FC</t>
  </si>
  <si>
    <t xml:space="preserve">  14.00  Newcastle United FC      2-1 (0-0)  Everton FC</t>
  </si>
  <si>
    <t xml:space="preserve">  16.30  Manchester United        0-1 (0-0)  Arsenal FC</t>
  </si>
  <si>
    <t xml:space="preserve">  19.15  Tottenham Hotspur FC     2-1 (1-0)  Brighton &amp; Hove Albion FC</t>
  </si>
  <si>
    <t>[Mon Nov/2]</t>
  </si>
  <si>
    <t xml:space="preserve">  17.30  Fulham FC                2-0 (2-0)  West Bromwich Albion FC</t>
  </si>
  <si>
    <t xml:space="preserve">  20.00  Leeds United FC          1-4 (0-2)  Leicester City FC</t>
  </si>
  <si>
    <t>[Fri Nov/6]</t>
  </si>
  <si>
    <t xml:space="preserve">  17.30  Brighton &amp; Hove Albion FC  0-0  Burnley FC</t>
  </si>
  <si>
    <t xml:space="preserve">  20.00  Southampton FC           2-0 (1-0)  Newcastle United FC</t>
  </si>
  <si>
    <t xml:space="preserve">  12.30  Everton FC               1-3 (1-2)  Manchester United</t>
  </si>
  <si>
    <t xml:space="preserve">  15.00  Crystal Palace FC        4-1 (3-1)  Leeds United FC</t>
  </si>
  <si>
    <t xml:space="preserve">  17.30  Chelsea FC               4-1 (2-1)  Sheffield United FC</t>
  </si>
  <si>
    <t xml:space="preserve">  20.00  West Ham United FC       1-0 (0-0)  Fulham FC</t>
  </si>
  <si>
    <t>[Sun Nov/8]</t>
  </si>
  <si>
    <t xml:space="preserve">  12.00  West Bromwich Albion FC  0-1 (0-0)  Tottenham Hotspur FC</t>
  </si>
  <si>
    <t xml:space="preserve">  14.00  Leicester City FC        1-0 (1-0)  Wolverhampton Wanderers FC</t>
  </si>
  <si>
    <t xml:space="preserve">  16.30  Manchester City FC       1-1 (1-1)  Liverpool FC</t>
  </si>
  <si>
    <t xml:space="preserve">  19.15  Arsenal FC               0-3 (0-1)  Aston Villa FC</t>
  </si>
  <si>
    <t xml:space="preserve">  12.30  Newcastle United FC      -  Chelsea FC</t>
  </si>
  <si>
    <t xml:space="preserve">  15.00  Aston Villa FC           -  Brighton &amp; Hove Albion FC</t>
  </si>
  <si>
    <t xml:space="preserve">         Burnley FC               -  Crystal Palace FC</t>
  </si>
  <si>
    <t xml:space="preserve">         Fulham FC                -  Everton FC</t>
  </si>
  <si>
    <t xml:space="preserve">         Liverpool FC             -  Leicester City FC</t>
  </si>
  <si>
    <t xml:space="preserve">         Manchester United        -  West Bromwich Albion FC</t>
  </si>
  <si>
    <t xml:space="preserve">         Wolverhampton Wanderers FC  -  Southampton FC</t>
  </si>
  <si>
    <t xml:space="preserve">  17.30  Tottenham Hotspur FC     -  Manchester City FC</t>
  </si>
  <si>
    <t>[Sun Nov/22]</t>
  </si>
  <si>
    <t xml:space="preserve">  14.00  Sheffield United FC      -  West Ham United FC</t>
  </si>
  <si>
    <t xml:space="preserve">  16.30  Leeds United FC          -  Arsenal FC</t>
  </si>
  <si>
    <t xml:space="preserve">  12.30  Brighton &amp; Hove Albion FC  -  Liverpool FC</t>
  </si>
  <si>
    <t xml:space="preserve">  15.00  Crystal Palace FC        -  Newcastle United FC</t>
  </si>
  <si>
    <t xml:space="preserve">         Manchester City FC       -  Burnley FC</t>
  </si>
  <si>
    <t xml:space="preserve">         West Bromwich Albion FC  -  Sheffield United FC</t>
  </si>
  <si>
    <t xml:space="preserve">  17.30  Everton FC               -  Leeds United FC</t>
  </si>
  <si>
    <t>[Sun Nov/29]</t>
  </si>
  <si>
    <t xml:space="preserve">  14.00  Southampton FC           -  Manchester United</t>
  </si>
  <si>
    <t xml:space="preserve">  16.30  Chelsea FC               -  Tottenham Hotspur FC</t>
  </si>
  <si>
    <t>[Mon Nov/30]</t>
  </si>
  <si>
    <t xml:space="preserve">  20.00  West Ham United FC       -  Aston Villa FC</t>
  </si>
  <si>
    <t>2-2</t>
  </si>
  <si>
    <t>Bur</t>
  </si>
  <si>
    <t>y FC</t>
  </si>
  <si>
    <t>Che</t>
  </si>
  <si>
    <t>a FC</t>
  </si>
  <si>
    <t>3-4</t>
  </si>
  <si>
    <t xml:space="preserve">       Manchester United    </t>
  </si>
  <si>
    <t>ter City FC</t>
  </si>
  <si>
    <t>ol FC</t>
  </si>
  <si>
    <t>le United FC</t>
  </si>
  <si>
    <t>nited FC</t>
  </si>
  <si>
    <t>ter United</t>
  </si>
  <si>
    <t>&lt;/td&gt;&lt;td&gt;</t>
  </si>
  <si>
    <t>Brighton and Hove Albion FC</t>
  </si>
  <si>
    <t>n and Hove Albion FC</t>
  </si>
  <si>
    <t xml:space="preserve">Brighton and Hove Albion FC </t>
  </si>
  <si>
    <t>2020-Sep-13</t>
  </si>
  <si>
    <t>2020-Sep-20</t>
  </si>
  <si>
    <t>2020-Sep-27</t>
  </si>
  <si>
    <t>2020-Oct-4</t>
  </si>
  <si>
    <t>2020-Oct-18</t>
  </si>
  <si>
    <t>2020-Oct-25</t>
  </si>
  <si>
    <t>2020-Nov-1</t>
  </si>
  <si>
    <t>2020-Nov-8</t>
  </si>
  <si>
    <t>2020-Nov-22</t>
  </si>
  <si>
    <t>2020-Nov-29</t>
  </si>
  <si>
    <t>2020-May-23</t>
  </si>
  <si>
    <t>2020-Sep-14</t>
  </si>
  <si>
    <t>2020-Sep-21</t>
  </si>
  <si>
    <t>2020-Sep-28</t>
  </si>
  <si>
    <t>2020-Oct-19</t>
  </si>
  <si>
    <t>2020-Oct-26</t>
  </si>
  <si>
    <t>2020-Nov-2</t>
  </si>
  <si>
    <t>2020-Nov-30</t>
  </si>
  <si>
    <t>2020-Dec-28</t>
  </si>
  <si>
    <t>2020-Oct-23</t>
  </si>
  <si>
    <t>2020-Oct-30</t>
  </si>
  <si>
    <t>2020-Nov-6</t>
  </si>
  <si>
    <t>2020-Dec-15</t>
  </si>
  <si>
    <t>2020-Jan-12</t>
  </si>
  <si>
    <t>2020-Jan-26</t>
  </si>
  <si>
    <t>2020-Feb-2</t>
  </si>
  <si>
    <t>2020-May-11</t>
  </si>
  <si>
    <t>2020-Dec-16</t>
  </si>
  <si>
    <t>2020-Jan-13</t>
  </si>
  <si>
    <t>2020-Jan-27</t>
  </si>
  <si>
    <t>2020-Feb-3</t>
  </si>
  <si>
    <t>2020-May-12</t>
  </si>
  <si>
    <t>2020-Sep-12</t>
  </si>
  <si>
    <t>2020-Sep-19</t>
  </si>
  <si>
    <t>2020-Sep-26</t>
  </si>
  <si>
    <t>2020-Oct-3</t>
  </si>
  <si>
    <t>2020-Oct-17</t>
  </si>
  <si>
    <t>2020-Oct-24</t>
  </si>
  <si>
    <t>2020-Oct-31</t>
  </si>
  <si>
    <t>2020-Nov-7</t>
  </si>
  <si>
    <t>2020-Nov-21</t>
  </si>
  <si>
    <t>2020-Nov-28</t>
  </si>
  <si>
    <t>2020-Dec-5</t>
  </si>
  <si>
    <t>2020-Dec-12</t>
  </si>
  <si>
    <t>2020-Dec-19</t>
  </si>
  <si>
    <t>2020-Dec-26</t>
  </si>
  <si>
    <t>2020-Jan-2</t>
  </si>
  <si>
    <t>2020-Jan-16</t>
  </si>
  <si>
    <t>2020-Jan-30</t>
  </si>
  <si>
    <t>2020-Feb-6</t>
  </si>
  <si>
    <t>2020-Feb-13</t>
  </si>
  <si>
    <t>2020-Feb-20</t>
  </si>
  <si>
    <t>2020-Feb-27</t>
  </si>
  <si>
    <t>2020-Mar-6</t>
  </si>
  <si>
    <t>2020-Mar-13</t>
  </si>
  <si>
    <t>2020-Mar-20</t>
  </si>
  <si>
    <t>2020-Apr-3</t>
  </si>
  <si>
    <t>2020-Apr-10</t>
  </si>
  <si>
    <t>2020-Apr-17</t>
  </si>
  <si>
    <t>2020-Apr-24</t>
  </si>
  <si>
    <t>2020-May-1</t>
  </si>
  <si>
    <t>2020-May-8</t>
  </si>
  <si>
    <t>2020-May-15</t>
  </si>
  <si>
    <t>&lt;tr&gt;&lt;td&gt;</t>
  </si>
  <si>
    <t>&lt;/td&gt;&lt;/tr&gt;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</si>
</sst>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[$-F400]h:mm:ss\ AM/PM"/>
  </numFmts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476250</xdr:colOff>
          <xdr:row>1</xdr:row>
          <xdr:rowOff>114300</xdr:rowOff>
        </xdr:from>
        <xdr:to>
          <xdr:col>21</xdr:col>
          <xdr:colOff>552450</xdr:colOff>
          <xdr:row>5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Show all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466725</xdr:colOff>
          <xdr:row>7</xdr:row>
          <xdr:rowOff>19050</xdr:rowOff>
        </xdr:from>
        <xdr:to>
          <xdr:col>21</xdr:col>
          <xdr:colOff>542925</xdr:colOff>
          <xdr:row>11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Show halftime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1</xdr:row>
          <xdr:rowOff>152400</xdr:rowOff>
        </xdr:from>
        <xdr:to>
          <xdr:col>28</xdr:col>
          <xdr:colOff>0</xdr:colOff>
          <xdr:row>6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Fixtures/Scores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-premierleague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58"/>
  <sheetViews>
    <sheetView workbookViewId="0">
      <selection activeCell="I19" sqref="I19"/>
    </sheetView>
  </sheetViews>
  <sheetFormatPr defaultRowHeight="15"/>
  <cols>
    <col min="1" max="1" width="65.42578125" bestFit="1" customWidth="1"/>
  </cols>
  <sheetData>
    <row r="1" spans="1:2">
      <c r="A1" t="s">
        <v>0</v>
      </c>
      <c r="B1" s="2" t="s">
        <v>0</v>
      </c>
    </row>
    <row r="2" spans="1:2">
      <c r="B2" s="1"/>
    </row>
    <row r="3" spans="1:2">
      <c r="B3" s="1"/>
    </row>
    <row r="4" spans="1:2">
      <c r="A4" t="s">
        <v>1</v>
      </c>
      <c r="B4" s="2" t="s">
        <v>1</v>
      </c>
    </row>
    <row r="5" spans="1:2">
      <c r="A5" t="s">
        <v>2</v>
      </c>
      <c r="B5" s="2" t="s">
        <v>2</v>
      </c>
    </row>
    <row r="6" spans="1:2">
      <c r="A6" t="s">
        <v>3</v>
      </c>
      <c r="B6" s="2" t="s">
        <v>3</v>
      </c>
    </row>
    <row r="7" spans="1:2">
      <c r="A7" t="s">
        <v>4</v>
      </c>
      <c r="B7" s="2" t="s">
        <v>4</v>
      </c>
    </row>
    <row r="8" spans="1:2">
      <c r="A8" t="s">
        <v>5</v>
      </c>
      <c r="B8" s="2" t="s">
        <v>5</v>
      </c>
    </row>
    <row r="9" spans="1:2">
      <c r="A9" t="s">
        <v>6</v>
      </c>
      <c r="B9" s="2" t="s">
        <v>6</v>
      </c>
    </row>
    <row r="10" spans="1:2">
      <c r="A10" t="s">
        <v>7</v>
      </c>
      <c r="B10" s="2" t="s">
        <v>7</v>
      </c>
    </row>
    <row r="11" spans="1:2">
      <c r="A11" t="s">
        <v>8</v>
      </c>
      <c r="B11" s="2" t="s">
        <v>8</v>
      </c>
    </row>
    <row r="12" spans="1:2">
      <c r="A12" t="s">
        <v>9</v>
      </c>
      <c r="B12" s="2" t="s">
        <v>9</v>
      </c>
    </row>
    <row r="13" spans="1:2">
      <c r="A13" t="s">
        <v>10</v>
      </c>
      <c r="B13" s="2" t="s">
        <v>10</v>
      </c>
    </row>
    <row r="14" spans="1:2">
      <c r="A14" t="s">
        <v>11</v>
      </c>
      <c r="B14" s="2" t="s">
        <v>11</v>
      </c>
    </row>
    <row r="15" spans="1:2">
      <c r="A15" t="s">
        <v>12</v>
      </c>
      <c r="B15" s="2" t="s">
        <v>12</v>
      </c>
    </row>
    <row r="16" spans="1:2">
      <c r="A16" t="s">
        <v>13</v>
      </c>
      <c r="B16" s="2" t="s">
        <v>13</v>
      </c>
    </row>
    <row r="17" spans="1:2">
      <c r="A17" t="s">
        <v>14</v>
      </c>
      <c r="B17" s="2" t="s">
        <v>14</v>
      </c>
    </row>
    <row r="18" spans="1:2">
      <c r="B18" s="1"/>
    </row>
    <row r="19" spans="1:2">
      <c r="B19" s="1"/>
    </row>
    <row r="20" spans="1:2">
      <c r="A20" t="s">
        <v>15</v>
      </c>
      <c r="B20" s="2" t="s">
        <v>15</v>
      </c>
    </row>
    <row r="21" spans="1:2">
      <c r="A21" t="s">
        <v>16</v>
      </c>
      <c r="B21" s="2" t="s">
        <v>16</v>
      </c>
    </row>
    <row r="22" spans="1:2">
      <c r="A22" t="s">
        <v>17</v>
      </c>
      <c r="B22" s="2" t="s">
        <v>17</v>
      </c>
    </row>
    <row r="23" spans="1:2">
      <c r="A23" t="s">
        <v>18</v>
      </c>
      <c r="B23" s="2" t="s">
        <v>18</v>
      </c>
    </row>
    <row r="24" spans="1:2">
      <c r="A24" t="s">
        <v>19</v>
      </c>
      <c r="B24" s="2" t="s">
        <v>19</v>
      </c>
    </row>
    <row r="25" spans="1:2">
      <c r="A25" t="s">
        <v>20</v>
      </c>
      <c r="B25" s="2" t="s">
        <v>20</v>
      </c>
    </row>
    <row r="26" spans="1:2">
      <c r="A26" t="s">
        <v>21</v>
      </c>
      <c r="B26" s="2" t="s">
        <v>21</v>
      </c>
    </row>
    <row r="27" spans="1:2">
      <c r="A27" t="s">
        <v>22</v>
      </c>
      <c r="B27" s="2" t="s">
        <v>22</v>
      </c>
    </row>
    <row r="28" spans="1:2">
      <c r="A28" t="s">
        <v>23</v>
      </c>
      <c r="B28" s="2" t="s">
        <v>23</v>
      </c>
    </row>
    <row r="29" spans="1:2">
      <c r="A29" t="s">
        <v>24</v>
      </c>
      <c r="B29" s="2" t="s">
        <v>24</v>
      </c>
    </row>
    <row r="30" spans="1:2">
      <c r="A30" t="s">
        <v>25</v>
      </c>
      <c r="B30" s="2" t="s">
        <v>25</v>
      </c>
    </row>
    <row r="31" spans="1:2">
      <c r="A31" t="s">
        <v>26</v>
      </c>
      <c r="B31" s="2" t="s">
        <v>26</v>
      </c>
    </row>
    <row r="32" spans="1:2">
      <c r="A32" t="s">
        <v>27</v>
      </c>
      <c r="B32" s="2" t="s">
        <v>27</v>
      </c>
    </row>
    <row r="33" spans="1:2">
      <c r="A33" t="s">
        <v>28</v>
      </c>
      <c r="B33" s="2" t="s">
        <v>28</v>
      </c>
    </row>
    <row r="34" spans="1:2">
      <c r="B34" s="1"/>
    </row>
    <row r="35" spans="1:2">
      <c r="B35" s="1"/>
    </row>
    <row r="36" spans="1:2">
      <c r="A36" t="s">
        <v>29</v>
      </c>
      <c r="B36" s="2" t="s">
        <v>29</v>
      </c>
    </row>
    <row r="37" spans="1:2">
      <c r="A37" t="s">
        <v>30</v>
      </c>
      <c r="B37" s="2" t="s">
        <v>30</v>
      </c>
    </row>
    <row r="38" spans="1:2">
      <c r="A38" t="s">
        <v>31</v>
      </c>
      <c r="B38" s="2" t="s">
        <v>31</v>
      </c>
    </row>
    <row r="39" spans="1:2">
      <c r="A39" t="s">
        <v>32</v>
      </c>
      <c r="B39" s="2" t="s">
        <v>32</v>
      </c>
    </row>
    <row r="40" spans="1:2">
      <c r="A40" t="s">
        <v>33</v>
      </c>
      <c r="B40" s="2" t="s">
        <v>33</v>
      </c>
    </row>
    <row r="41" spans="1:2">
      <c r="A41" t="s">
        <v>34</v>
      </c>
      <c r="B41" s="2" t="s">
        <v>34</v>
      </c>
    </row>
    <row r="42" spans="1:2">
      <c r="A42" t="s">
        <v>35</v>
      </c>
      <c r="B42" s="2" t="s">
        <v>35</v>
      </c>
    </row>
    <row r="43" spans="1:2">
      <c r="A43" t="s">
        <v>36</v>
      </c>
      <c r="B43" s="2" t="s">
        <v>36</v>
      </c>
    </row>
    <row r="44" spans="1:2">
      <c r="A44" t="s">
        <v>37</v>
      </c>
      <c r="B44" s="2" t="s">
        <v>37</v>
      </c>
    </row>
    <row r="45" spans="1:2">
      <c r="A45" t="s">
        <v>38</v>
      </c>
      <c r="B45" s="2" t="s">
        <v>38</v>
      </c>
    </row>
    <row r="46" spans="1:2">
      <c r="A46" t="s">
        <v>39</v>
      </c>
      <c r="B46" s="2" t="s">
        <v>39</v>
      </c>
    </row>
    <row r="47" spans="1:2">
      <c r="A47" t="s">
        <v>40</v>
      </c>
      <c r="B47" s="2" t="s">
        <v>40</v>
      </c>
    </row>
    <row r="48" spans="1:2">
      <c r="A48" t="s">
        <v>41</v>
      </c>
      <c r="B48" s="2" t="s">
        <v>41</v>
      </c>
    </row>
    <row r="49" spans="1:2">
      <c r="A49" t="s">
        <v>42</v>
      </c>
      <c r="B49" s="2" t="s">
        <v>42</v>
      </c>
    </row>
    <row r="50" spans="1:2">
      <c r="B50" s="1"/>
    </row>
    <row r="51" spans="1:2">
      <c r="B51" s="1"/>
    </row>
    <row r="52" spans="1:2">
      <c r="A52" t="s">
        <v>43</v>
      </c>
      <c r="B52" s="2" t="s">
        <v>43</v>
      </c>
    </row>
    <row r="53" spans="1:2">
      <c r="A53" t="s">
        <v>44</v>
      </c>
      <c r="B53" s="2" t="s">
        <v>44</v>
      </c>
    </row>
    <row r="54" spans="1:2">
      <c r="A54" t="s">
        <v>45</v>
      </c>
      <c r="B54" s="2" t="s">
        <v>45</v>
      </c>
    </row>
    <row r="55" spans="1:2">
      <c r="A55" t="s">
        <v>46</v>
      </c>
      <c r="B55" s="2" t="s">
        <v>46</v>
      </c>
    </row>
    <row r="56" spans="1:2">
      <c r="A56" t="s">
        <v>47</v>
      </c>
      <c r="B56" s="2" t="s">
        <v>47</v>
      </c>
    </row>
    <row r="57" spans="1:2">
      <c r="A57" t="s">
        <v>48</v>
      </c>
      <c r="B57" s="2" t="s">
        <v>48</v>
      </c>
    </row>
    <row r="58" spans="1:2">
      <c r="A58" t="s">
        <v>49</v>
      </c>
      <c r="B58" s="2" t="s">
        <v>49</v>
      </c>
    </row>
    <row r="59" spans="1:2">
      <c r="A59" t="s">
        <v>50</v>
      </c>
      <c r="B59" s="2" t="s">
        <v>50</v>
      </c>
    </row>
    <row r="60" spans="1:2">
      <c r="A60" t="s">
        <v>51</v>
      </c>
      <c r="B60" s="2" t="s">
        <v>51</v>
      </c>
    </row>
    <row r="61" spans="1:2">
      <c r="A61" t="s">
        <v>52</v>
      </c>
      <c r="B61" s="2" t="s">
        <v>52</v>
      </c>
    </row>
    <row r="62" spans="1:2">
      <c r="A62" t="s">
        <v>53</v>
      </c>
      <c r="B62" s="2" t="s">
        <v>53</v>
      </c>
    </row>
    <row r="63" spans="1:2">
      <c r="A63" t="s">
        <v>54</v>
      </c>
      <c r="B63" s="2" t="s">
        <v>54</v>
      </c>
    </row>
    <row r="64" spans="1:2">
      <c r="A64" t="s">
        <v>55</v>
      </c>
      <c r="B64" s="2" t="s">
        <v>55</v>
      </c>
    </row>
    <row r="65" spans="1:2">
      <c r="B65" s="1"/>
    </row>
    <row r="66" spans="1:2">
      <c r="B66" s="1"/>
    </row>
    <row r="67" spans="1:2">
      <c r="A67" t="s">
        <v>56</v>
      </c>
      <c r="B67" s="2" t="s">
        <v>56</v>
      </c>
    </row>
    <row r="68" spans="1:2">
      <c r="A68" t="s">
        <v>57</v>
      </c>
      <c r="B68" s="2" t="s">
        <v>57</v>
      </c>
    </row>
    <row r="69" spans="1:2">
      <c r="A69" t="s">
        <v>568</v>
      </c>
      <c r="B69" s="2" t="s">
        <v>58</v>
      </c>
    </row>
    <row r="70" spans="1:2">
      <c r="A70" t="s">
        <v>569</v>
      </c>
      <c r="B70" s="2" t="s">
        <v>59</v>
      </c>
    </row>
    <row r="71" spans="1:2">
      <c r="A71" t="s">
        <v>570</v>
      </c>
      <c r="B71" s="2" t="s">
        <v>60</v>
      </c>
    </row>
    <row r="72" spans="1:2">
      <c r="A72" t="s">
        <v>571</v>
      </c>
      <c r="B72" s="2" t="s">
        <v>61</v>
      </c>
    </row>
    <row r="73" spans="1:2">
      <c r="A73" t="s">
        <v>572</v>
      </c>
      <c r="B73" s="2" t="s">
        <v>62</v>
      </c>
    </row>
    <row r="74" spans="1:2">
      <c r="A74" t="s">
        <v>573</v>
      </c>
      <c r="B74" s="2" t="s">
        <v>63</v>
      </c>
    </row>
    <row r="75" spans="1:2">
      <c r="A75" t="s">
        <v>574</v>
      </c>
      <c r="B75" s="2" t="s">
        <v>64</v>
      </c>
    </row>
    <row r="76" spans="1:2">
      <c r="A76" t="s">
        <v>575</v>
      </c>
      <c r="B76" s="2" t="s">
        <v>65</v>
      </c>
    </row>
    <row r="77" spans="1:2">
      <c r="A77" t="s">
        <v>576</v>
      </c>
      <c r="B77" s="2" t="s">
        <v>66</v>
      </c>
    </row>
    <row r="78" spans="1:2">
      <c r="A78" t="s">
        <v>577</v>
      </c>
      <c r="B78" s="2" t="s">
        <v>67</v>
      </c>
    </row>
    <row r="79" spans="1:2">
      <c r="A79" t="s">
        <v>578</v>
      </c>
      <c r="B79" s="1"/>
    </row>
    <row r="80" spans="1:2">
      <c r="A80" t="s">
        <v>579</v>
      </c>
      <c r="B80" s="1"/>
    </row>
    <row r="81" spans="1:2">
      <c r="B81" s="2" t="s">
        <v>68</v>
      </c>
    </row>
    <row r="82" spans="1:2">
      <c r="B82" s="2" t="s">
        <v>69</v>
      </c>
    </row>
    <row r="83" spans="1:2">
      <c r="A83" t="s">
        <v>68</v>
      </c>
      <c r="B83" s="2" t="s">
        <v>70</v>
      </c>
    </row>
    <row r="84" spans="1:2">
      <c r="A84" t="s">
        <v>580</v>
      </c>
      <c r="B84" s="2" t="s">
        <v>71</v>
      </c>
    </row>
    <row r="85" spans="1:2">
      <c r="A85" t="s">
        <v>581</v>
      </c>
      <c r="B85" s="2" t="s">
        <v>72</v>
      </c>
    </row>
    <row r="86" spans="1:2">
      <c r="A86" t="s">
        <v>69</v>
      </c>
      <c r="B86" s="2" t="s">
        <v>73</v>
      </c>
    </row>
    <row r="87" spans="1:2">
      <c r="A87" t="s">
        <v>582</v>
      </c>
      <c r="B87" s="2" t="s">
        <v>74</v>
      </c>
    </row>
    <row r="88" spans="1:2">
      <c r="A88" t="s">
        <v>583</v>
      </c>
      <c r="B88" s="2" t="s">
        <v>75</v>
      </c>
    </row>
    <row r="89" spans="1:2">
      <c r="A89" t="s">
        <v>584</v>
      </c>
      <c r="B89" s="2" t="s">
        <v>76</v>
      </c>
    </row>
    <row r="90" spans="1:2">
      <c r="A90" t="s">
        <v>585</v>
      </c>
      <c r="B90" s="2" t="s">
        <v>77</v>
      </c>
    </row>
    <row r="91" spans="1:2">
      <c r="A91" t="s">
        <v>586</v>
      </c>
      <c r="B91" s="2" t="s">
        <v>78</v>
      </c>
    </row>
    <row r="92" spans="1:2">
      <c r="A92" t="s">
        <v>587</v>
      </c>
      <c r="B92" s="2" t="s">
        <v>79</v>
      </c>
    </row>
    <row r="93" spans="1:2">
      <c r="A93" t="s">
        <v>588</v>
      </c>
      <c r="B93" s="1"/>
    </row>
    <row r="94" spans="1:2">
      <c r="A94" t="s">
        <v>589</v>
      </c>
      <c r="B94" s="1"/>
    </row>
    <row r="95" spans="1:2">
      <c r="A95" t="s">
        <v>590</v>
      </c>
      <c r="B95" s="2" t="s">
        <v>80</v>
      </c>
    </row>
    <row r="96" spans="1:2">
      <c r="A96" t="s">
        <v>591</v>
      </c>
      <c r="B96" s="2" t="s">
        <v>81</v>
      </c>
    </row>
    <row r="97" spans="1:2">
      <c r="A97" t="s">
        <v>592</v>
      </c>
      <c r="B97" s="2" t="s">
        <v>82</v>
      </c>
    </row>
    <row r="98" spans="1:2">
      <c r="B98" s="2" t="s">
        <v>83</v>
      </c>
    </row>
    <row r="99" spans="1:2">
      <c r="B99" s="2" t="s">
        <v>84</v>
      </c>
    </row>
    <row r="100" spans="1:2">
      <c r="A100" t="s">
        <v>80</v>
      </c>
      <c r="B100" s="2" t="s">
        <v>85</v>
      </c>
    </row>
    <row r="101" spans="1:2">
      <c r="A101" t="s">
        <v>593</v>
      </c>
      <c r="B101" s="2" t="s">
        <v>86</v>
      </c>
    </row>
    <row r="102" spans="1:2">
      <c r="A102" t="s">
        <v>594</v>
      </c>
      <c r="B102" s="2" t="s">
        <v>87</v>
      </c>
    </row>
    <row r="103" spans="1:2">
      <c r="A103" t="s">
        <v>81</v>
      </c>
      <c r="B103" s="2" t="s">
        <v>88</v>
      </c>
    </row>
    <row r="104" spans="1:2">
      <c r="A104" t="s">
        <v>595</v>
      </c>
      <c r="B104" s="2" t="s">
        <v>89</v>
      </c>
    </row>
    <row r="105" spans="1:2">
      <c r="A105" t="s">
        <v>596</v>
      </c>
      <c r="B105" s="2" t="s">
        <v>90</v>
      </c>
    </row>
    <row r="106" spans="1:2">
      <c r="A106" t="s">
        <v>597</v>
      </c>
      <c r="B106" s="2" t="s">
        <v>91</v>
      </c>
    </row>
    <row r="107" spans="1:2">
      <c r="A107" t="s">
        <v>598</v>
      </c>
      <c r="B107" s="1"/>
    </row>
    <row r="108" spans="1:2">
      <c r="A108" t="s">
        <v>599</v>
      </c>
      <c r="B108" s="1"/>
    </row>
    <row r="109" spans="1:2">
      <c r="A109" t="s">
        <v>600</v>
      </c>
      <c r="B109" s="2" t="s">
        <v>92</v>
      </c>
    </row>
    <row r="110" spans="1:2">
      <c r="A110" t="s">
        <v>601</v>
      </c>
      <c r="B110" s="2" t="s">
        <v>93</v>
      </c>
    </row>
    <row r="111" spans="1:2">
      <c r="A111" t="s">
        <v>602</v>
      </c>
      <c r="B111" s="2" t="s">
        <v>94</v>
      </c>
    </row>
    <row r="112" spans="1:2">
      <c r="A112" t="s">
        <v>603</v>
      </c>
      <c r="B112" s="2" t="s">
        <v>95</v>
      </c>
    </row>
    <row r="113" spans="1:2">
      <c r="A113" t="s">
        <v>604</v>
      </c>
      <c r="B113" s="2" t="s">
        <v>96</v>
      </c>
    </row>
    <row r="114" spans="1:2">
      <c r="A114" t="s">
        <v>605</v>
      </c>
      <c r="B114" s="2" t="s">
        <v>97</v>
      </c>
    </row>
    <row r="115" spans="1:2">
      <c r="B115" s="2" t="s">
        <v>98</v>
      </c>
    </row>
    <row r="116" spans="1:2">
      <c r="B116" s="2" t="s">
        <v>99</v>
      </c>
    </row>
    <row r="117" spans="1:2">
      <c r="A117" t="s">
        <v>92</v>
      </c>
      <c r="B117" s="2" t="s">
        <v>100</v>
      </c>
    </row>
    <row r="118" spans="1:2">
      <c r="A118" t="s">
        <v>606</v>
      </c>
      <c r="B118" s="2" t="s">
        <v>101</v>
      </c>
    </row>
    <row r="119" spans="1:2">
      <c r="A119" t="s">
        <v>607</v>
      </c>
      <c r="B119" s="2" t="s">
        <v>102</v>
      </c>
    </row>
    <row r="120" spans="1:2">
      <c r="A120" t="s">
        <v>608</v>
      </c>
      <c r="B120" s="2" t="s">
        <v>103</v>
      </c>
    </row>
    <row r="121" spans="1:2">
      <c r="A121" t="s">
        <v>93</v>
      </c>
      <c r="B121" s="1"/>
    </row>
    <row r="122" spans="1:2">
      <c r="A122" t="s">
        <v>609</v>
      </c>
      <c r="B122" s="1"/>
    </row>
    <row r="123" spans="1:2">
      <c r="A123" t="s">
        <v>610</v>
      </c>
      <c r="B123" s="2" t="s">
        <v>104</v>
      </c>
    </row>
    <row r="124" spans="1:2">
      <c r="A124" t="s">
        <v>611</v>
      </c>
      <c r="B124" s="2" t="s">
        <v>105</v>
      </c>
    </row>
    <row r="125" spans="1:2">
      <c r="A125" t="s">
        <v>612</v>
      </c>
      <c r="B125" s="2" t="s">
        <v>106</v>
      </c>
    </row>
    <row r="126" spans="1:2">
      <c r="A126" t="s">
        <v>613</v>
      </c>
      <c r="B126" s="2" t="s">
        <v>107</v>
      </c>
    </row>
    <row r="127" spans="1:2">
      <c r="A127" t="s">
        <v>614</v>
      </c>
      <c r="B127" s="2" t="s">
        <v>108</v>
      </c>
    </row>
    <row r="128" spans="1:2">
      <c r="A128" t="s">
        <v>615</v>
      </c>
      <c r="B128" s="2" t="s">
        <v>109</v>
      </c>
    </row>
    <row r="129" spans="1:2">
      <c r="A129" t="s">
        <v>616</v>
      </c>
      <c r="B129" s="2" t="s">
        <v>110</v>
      </c>
    </row>
    <row r="130" spans="1:2">
      <c r="A130" t="s">
        <v>617</v>
      </c>
      <c r="B130" s="2" t="s">
        <v>111</v>
      </c>
    </row>
    <row r="131" spans="1:2">
      <c r="B131" s="2" t="s">
        <v>112</v>
      </c>
    </row>
    <row r="132" spans="1:2">
      <c r="B132" s="2" t="s">
        <v>113</v>
      </c>
    </row>
    <row r="133" spans="1:2">
      <c r="A133" t="s">
        <v>104</v>
      </c>
      <c r="B133" s="2" t="s">
        <v>114</v>
      </c>
    </row>
    <row r="134" spans="1:2">
      <c r="A134" t="s">
        <v>105</v>
      </c>
      <c r="B134" s="2" t="s">
        <v>115</v>
      </c>
    </row>
    <row r="135" spans="1:2">
      <c r="A135" t="s">
        <v>618</v>
      </c>
      <c r="B135" s="1"/>
    </row>
    <row r="136" spans="1:2">
      <c r="A136" t="s">
        <v>619</v>
      </c>
      <c r="B136" s="1"/>
    </row>
    <row r="137" spans="1:2">
      <c r="A137" t="s">
        <v>620</v>
      </c>
      <c r="B137" s="2" t="s">
        <v>116</v>
      </c>
    </row>
    <row r="138" spans="1:2">
      <c r="A138" t="s">
        <v>621</v>
      </c>
      <c r="B138" s="2" t="s">
        <v>117</v>
      </c>
    </row>
    <row r="139" spans="1:2">
      <c r="A139" t="s">
        <v>622</v>
      </c>
      <c r="B139" s="2" t="s">
        <v>118</v>
      </c>
    </row>
    <row r="140" spans="1:2">
      <c r="A140" t="s">
        <v>623</v>
      </c>
      <c r="B140" s="2" t="s">
        <v>119</v>
      </c>
    </row>
    <row r="141" spans="1:2">
      <c r="A141" t="s">
        <v>624</v>
      </c>
      <c r="B141" s="2" t="s">
        <v>120</v>
      </c>
    </row>
    <row r="142" spans="1:2">
      <c r="A142" t="s">
        <v>625</v>
      </c>
      <c r="B142" s="2" t="s">
        <v>121</v>
      </c>
    </row>
    <row r="143" spans="1:2">
      <c r="A143" t="s">
        <v>626</v>
      </c>
      <c r="B143" s="2" t="s">
        <v>122</v>
      </c>
    </row>
    <row r="144" spans="1:2">
      <c r="A144" t="s">
        <v>627</v>
      </c>
      <c r="B144" s="2" t="s">
        <v>123</v>
      </c>
    </row>
    <row r="145" spans="1:2">
      <c r="A145" t="s">
        <v>628</v>
      </c>
      <c r="B145" s="2" t="s">
        <v>124</v>
      </c>
    </row>
    <row r="146" spans="1:2">
      <c r="B146" s="2" t="s">
        <v>125</v>
      </c>
    </row>
    <row r="147" spans="1:2">
      <c r="B147" s="2" t="s">
        <v>126</v>
      </c>
    </row>
    <row r="148" spans="1:2">
      <c r="A148" t="s">
        <v>116</v>
      </c>
      <c r="B148" s="2" t="s">
        <v>127</v>
      </c>
    </row>
    <row r="149" spans="1:2">
      <c r="A149" t="s">
        <v>117</v>
      </c>
      <c r="B149" s="1"/>
    </row>
    <row r="150" spans="1:2">
      <c r="A150" t="s">
        <v>118</v>
      </c>
      <c r="B150" s="1"/>
    </row>
    <row r="151" spans="1:2">
      <c r="A151" t="s">
        <v>123</v>
      </c>
      <c r="B151" s="2" t="s">
        <v>128</v>
      </c>
    </row>
    <row r="152" spans="1:2">
      <c r="A152" t="s">
        <v>629</v>
      </c>
      <c r="B152" s="2" t="s">
        <v>129</v>
      </c>
    </row>
    <row r="153" spans="1:2">
      <c r="A153" t="s">
        <v>630</v>
      </c>
      <c r="B153" s="2" t="s">
        <v>130</v>
      </c>
    </row>
    <row r="154" spans="1:2">
      <c r="A154" t="s">
        <v>631</v>
      </c>
      <c r="B154" s="2" t="s">
        <v>131</v>
      </c>
    </row>
    <row r="155" spans="1:2">
      <c r="A155" t="s">
        <v>632</v>
      </c>
      <c r="B155" s="2" t="s">
        <v>132</v>
      </c>
    </row>
    <row r="156" spans="1:2">
      <c r="A156" t="s">
        <v>633</v>
      </c>
      <c r="B156" s="2" t="s">
        <v>133</v>
      </c>
    </row>
    <row r="157" spans="1:2">
      <c r="A157" t="s">
        <v>634</v>
      </c>
      <c r="B157" s="2" t="s">
        <v>134</v>
      </c>
    </row>
    <row r="158" spans="1:2">
      <c r="A158" t="s">
        <v>635</v>
      </c>
      <c r="B158" s="2" t="s">
        <v>135</v>
      </c>
    </row>
    <row r="159" spans="1:2">
      <c r="A159" t="s">
        <v>636</v>
      </c>
      <c r="B159" s="2" t="s">
        <v>136</v>
      </c>
    </row>
    <row r="160" spans="1:2">
      <c r="A160" t="s">
        <v>637</v>
      </c>
      <c r="B160" s="2" t="s">
        <v>137</v>
      </c>
    </row>
    <row r="161" spans="1:2">
      <c r="A161" t="s">
        <v>638</v>
      </c>
      <c r="B161" s="2" t="s">
        <v>138</v>
      </c>
    </row>
    <row r="162" spans="1:2">
      <c r="B162" s="2" t="s">
        <v>139</v>
      </c>
    </row>
    <row r="163" spans="1:2">
      <c r="B163" s="1"/>
    </row>
    <row r="164" spans="1:2">
      <c r="A164" t="s">
        <v>128</v>
      </c>
      <c r="B164" s="1"/>
    </row>
    <row r="165" spans="1:2">
      <c r="A165" t="s">
        <v>129</v>
      </c>
      <c r="B165" s="2" t="s">
        <v>140</v>
      </c>
    </row>
    <row r="166" spans="1:2">
      <c r="A166" t="s">
        <v>130</v>
      </c>
      <c r="B166" s="2" t="s">
        <v>141</v>
      </c>
    </row>
    <row r="167" spans="1:2">
      <c r="A167" t="s">
        <v>131</v>
      </c>
      <c r="B167" s="2" t="s">
        <v>142</v>
      </c>
    </row>
    <row r="168" spans="1:2">
      <c r="A168" t="s">
        <v>132</v>
      </c>
      <c r="B168" s="2" t="s">
        <v>143</v>
      </c>
    </row>
    <row r="169" spans="1:2">
      <c r="A169" t="s">
        <v>133</v>
      </c>
      <c r="B169" s="2" t="s">
        <v>144</v>
      </c>
    </row>
    <row r="170" spans="1:2">
      <c r="A170" t="s">
        <v>134</v>
      </c>
      <c r="B170" s="2" t="s">
        <v>145</v>
      </c>
    </row>
    <row r="171" spans="1:2">
      <c r="A171" t="s">
        <v>135</v>
      </c>
      <c r="B171" s="2" t="s">
        <v>146</v>
      </c>
    </row>
    <row r="172" spans="1:2">
      <c r="A172" t="s">
        <v>136</v>
      </c>
      <c r="B172" s="2" t="s">
        <v>147</v>
      </c>
    </row>
    <row r="173" spans="1:2">
      <c r="A173" t="s">
        <v>137</v>
      </c>
      <c r="B173" s="2" t="s">
        <v>148</v>
      </c>
    </row>
    <row r="174" spans="1:2">
      <c r="A174" t="s">
        <v>138</v>
      </c>
      <c r="B174" s="2" t="s">
        <v>149</v>
      </c>
    </row>
    <row r="175" spans="1:2">
      <c r="A175" t="s">
        <v>139</v>
      </c>
      <c r="B175" s="2" t="s">
        <v>150</v>
      </c>
    </row>
    <row r="176" spans="1:2">
      <c r="B176" s="2" t="s">
        <v>151</v>
      </c>
    </row>
    <row r="177" spans="1:2">
      <c r="B177" s="1"/>
    </row>
    <row r="178" spans="1:2">
      <c r="A178" t="s">
        <v>140</v>
      </c>
      <c r="B178" s="1"/>
    </row>
    <row r="179" spans="1:2">
      <c r="A179" t="s">
        <v>141</v>
      </c>
      <c r="B179" s="2" t="s">
        <v>152</v>
      </c>
    </row>
    <row r="180" spans="1:2">
      <c r="A180" t="s">
        <v>142</v>
      </c>
      <c r="B180" s="2" t="s">
        <v>153</v>
      </c>
    </row>
    <row r="181" spans="1:2">
      <c r="A181" t="s">
        <v>143</v>
      </c>
      <c r="B181" s="2" t="s">
        <v>154</v>
      </c>
    </row>
    <row r="182" spans="1:2">
      <c r="A182" t="s">
        <v>144</v>
      </c>
      <c r="B182" s="2" t="s">
        <v>155</v>
      </c>
    </row>
    <row r="183" spans="1:2">
      <c r="A183" t="s">
        <v>145</v>
      </c>
      <c r="B183" s="2" t="s">
        <v>156</v>
      </c>
    </row>
    <row r="184" spans="1:2">
      <c r="A184" t="s">
        <v>146</v>
      </c>
      <c r="B184" s="2" t="s">
        <v>157</v>
      </c>
    </row>
    <row r="185" spans="1:2">
      <c r="A185" t="s">
        <v>147</v>
      </c>
      <c r="B185" s="2" t="s">
        <v>158</v>
      </c>
    </row>
    <row r="186" spans="1:2">
      <c r="A186" t="s">
        <v>148</v>
      </c>
      <c r="B186" s="2" t="s">
        <v>159</v>
      </c>
    </row>
    <row r="187" spans="1:2">
      <c r="A187" t="s">
        <v>149</v>
      </c>
      <c r="B187" s="2" t="s">
        <v>160</v>
      </c>
    </row>
    <row r="188" spans="1:2">
      <c r="A188" t="s">
        <v>150</v>
      </c>
      <c r="B188" s="2" t="s">
        <v>161</v>
      </c>
    </row>
    <row r="189" spans="1:2">
      <c r="A189" t="s">
        <v>151</v>
      </c>
      <c r="B189" s="2" t="s">
        <v>162</v>
      </c>
    </row>
    <row r="190" spans="1:2">
      <c r="B190" s="2" t="s">
        <v>163</v>
      </c>
    </row>
    <row r="191" spans="1:2">
      <c r="B191" s="2" t="s">
        <v>164</v>
      </c>
    </row>
    <row r="192" spans="1:2">
      <c r="A192" t="s">
        <v>152</v>
      </c>
      <c r="B192" s="1"/>
    </row>
    <row r="193" spans="1:2">
      <c r="A193" t="s">
        <v>153</v>
      </c>
      <c r="B193" s="1"/>
    </row>
    <row r="194" spans="1:2">
      <c r="A194" t="s">
        <v>154</v>
      </c>
      <c r="B194" s="2" t="s">
        <v>165</v>
      </c>
    </row>
    <row r="195" spans="1:2">
      <c r="A195" t="s">
        <v>155</v>
      </c>
      <c r="B195" s="2" t="s">
        <v>166</v>
      </c>
    </row>
    <row r="196" spans="1:2">
      <c r="A196" t="s">
        <v>156</v>
      </c>
      <c r="B196" s="2" t="s">
        <v>167</v>
      </c>
    </row>
    <row r="197" spans="1:2">
      <c r="A197" t="s">
        <v>157</v>
      </c>
      <c r="B197" s="2" t="s">
        <v>168</v>
      </c>
    </row>
    <row r="198" spans="1:2">
      <c r="A198" t="s">
        <v>158</v>
      </c>
      <c r="B198" s="2" t="s">
        <v>169</v>
      </c>
    </row>
    <row r="199" spans="1:2">
      <c r="A199" t="s">
        <v>159</v>
      </c>
      <c r="B199" s="2" t="s">
        <v>170</v>
      </c>
    </row>
    <row r="200" spans="1:2">
      <c r="A200" t="s">
        <v>160</v>
      </c>
      <c r="B200" s="2" t="s">
        <v>171</v>
      </c>
    </row>
    <row r="201" spans="1:2">
      <c r="A201" t="s">
        <v>161</v>
      </c>
      <c r="B201" s="2" t="s">
        <v>172</v>
      </c>
    </row>
    <row r="202" spans="1:2">
      <c r="A202" t="s">
        <v>162</v>
      </c>
      <c r="B202" s="2" t="s">
        <v>173</v>
      </c>
    </row>
    <row r="203" spans="1:2">
      <c r="A203" t="s">
        <v>163</v>
      </c>
      <c r="B203" s="2" t="s">
        <v>174</v>
      </c>
    </row>
    <row r="204" spans="1:2">
      <c r="A204" t="s">
        <v>164</v>
      </c>
      <c r="B204" s="2" t="s">
        <v>175</v>
      </c>
    </row>
    <row r="205" spans="1:2">
      <c r="B205" s="2" t="s">
        <v>176</v>
      </c>
    </row>
    <row r="206" spans="1:2">
      <c r="B206" s="1"/>
    </row>
    <row r="207" spans="1:2">
      <c r="A207" t="s">
        <v>165</v>
      </c>
      <c r="B207" s="1"/>
    </row>
    <row r="208" spans="1:2">
      <c r="A208" t="s">
        <v>166</v>
      </c>
      <c r="B208" s="2" t="s">
        <v>177</v>
      </c>
    </row>
    <row r="209" spans="1:2">
      <c r="A209" t="s">
        <v>167</v>
      </c>
      <c r="B209" s="2" t="s">
        <v>178</v>
      </c>
    </row>
    <row r="210" spans="1:2">
      <c r="A210" t="s">
        <v>168</v>
      </c>
      <c r="B210" s="2" t="s">
        <v>179</v>
      </c>
    </row>
    <row r="211" spans="1:2">
      <c r="A211" t="s">
        <v>169</v>
      </c>
      <c r="B211" s="2" t="s">
        <v>180</v>
      </c>
    </row>
    <row r="212" spans="1:2">
      <c r="A212" t="s">
        <v>170</v>
      </c>
      <c r="B212" s="2" t="s">
        <v>181</v>
      </c>
    </row>
    <row r="213" spans="1:2">
      <c r="A213" t="s">
        <v>171</v>
      </c>
      <c r="B213" s="2" t="s">
        <v>182</v>
      </c>
    </row>
    <row r="214" spans="1:2">
      <c r="A214" t="s">
        <v>172</v>
      </c>
      <c r="B214" s="2" t="s">
        <v>183</v>
      </c>
    </row>
    <row r="215" spans="1:2">
      <c r="A215" t="s">
        <v>173</v>
      </c>
      <c r="B215" s="2" t="s">
        <v>184</v>
      </c>
    </row>
    <row r="216" spans="1:2">
      <c r="A216" t="s">
        <v>174</v>
      </c>
      <c r="B216" s="2" t="s">
        <v>185</v>
      </c>
    </row>
    <row r="217" spans="1:2">
      <c r="A217" t="s">
        <v>175</v>
      </c>
      <c r="B217" s="2" t="s">
        <v>186</v>
      </c>
    </row>
    <row r="218" spans="1:2">
      <c r="A218" t="s">
        <v>176</v>
      </c>
      <c r="B218" s="2" t="s">
        <v>187</v>
      </c>
    </row>
    <row r="219" spans="1:2">
      <c r="B219" s="2" t="s">
        <v>188</v>
      </c>
    </row>
    <row r="220" spans="1:2">
      <c r="B220" s="1"/>
    </row>
    <row r="221" spans="1:2">
      <c r="A221" t="s">
        <v>177</v>
      </c>
      <c r="B221" s="1"/>
    </row>
    <row r="222" spans="1:2">
      <c r="A222" t="s">
        <v>178</v>
      </c>
      <c r="B222" s="2" t="s">
        <v>189</v>
      </c>
    </row>
    <row r="223" spans="1:2">
      <c r="A223" t="s">
        <v>179</v>
      </c>
      <c r="B223" s="2" t="s">
        <v>190</v>
      </c>
    </row>
    <row r="224" spans="1:2">
      <c r="A224" t="s">
        <v>180</v>
      </c>
      <c r="B224" s="2" t="s">
        <v>191</v>
      </c>
    </row>
    <row r="225" spans="1:2">
      <c r="A225" t="s">
        <v>181</v>
      </c>
      <c r="B225" s="2" t="s">
        <v>192</v>
      </c>
    </row>
    <row r="226" spans="1:2">
      <c r="A226" t="s">
        <v>182</v>
      </c>
      <c r="B226" s="2" t="s">
        <v>193</v>
      </c>
    </row>
    <row r="227" spans="1:2">
      <c r="A227" t="s">
        <v>183</v>
      </c>
      <c r="B227" s="2" t="s">
        <v>194</v>
      </c>
    </row>
    <row r="228" spans="1:2">
      <c r="A228" t="s">
        <v>184</v>
      </c>
      <c r="B228" s="2" t="s">
        <v>195</v>
      </c>
    </row>
    <row r="229" spans="1:2">
      <c r="A229" t="s">
        <v>185</v>
      </c>
      <c r="B229" s="2" t="s">
        <v>196</v>
      </c>
    </row>
    <row r="230" spans="1:2">
      <c r="A230" t="s">
        <v>186</v>
      </c>
      <c r="B230" s="2" t="s">
        <v>197</v>
      </c>
    </row>
    <row r="231" spans="1:2">
      <c r="A231" t="s">
        <v>187</v>
      </c>
      <c r="B231" s="2" t="s">
        <v>198</v>
      </c>
    </row>
    <row r="232" spans="1:2">
      <c r="A232" t="s">
        <v>188</v>
      </c>
      <c r="B232" s="2" t="s">
        <v>199</v>
      </c>
    </row>
    <row r="233" spans="1:2">
      <c r="B233" s="2" t="s">
        <v>200</v>
      </c>
    </row>
    <row r="234" spans="1:2">
      <c r="B234" s="1"/>
    </row>
    <row r="235" spans="1:2">
      <c r="A235" t="s">
        <v>189</v>
      </c>
      <c r="B235" s="1"/>
    </row>
    <row r="236" spans="1:2">
      <c r="A236" t="s">
        <v>190</v>
      </c>
      <c r="B236" s="2" t="s">
        <v>201</v>
      </c>
    </row>
    <row r="237" spans="1:2">
      <c r="A237" t="s">
        <v>191</v>
      </c>
      <c r="B237" s="2" t="s">
        <v>202</v>
      </c>
    </row>
    <row r="238" spans="1:2">
      <c r="A238" t="s">
        <v>192</v>
      </c>
      <c r="B238" s="2" t="s">
        <v>203</v>
      </c>
    </row>
    <row r="239" spans="1:2">
      <c r="A239" t="s">
        <v>193</v>
      </c>
      <c r="B239" s="2" t="s">
        <v>204</v>
      </c>
    </row>
    <row r="240" spans="1:2">
      <c r="A240" t="s">
        <v>194</v>
      </c>
      <c r="B240" s="2" t="s">
        <v>205</v>
      </c>
    </row>
    <row r="241" spans="1:2">
      <c r="A241" t="s">
        <v>195</v>
      </c>
      <c r="B241" s="2" t="s">
        <v>206</v>
      </c>
    </row>
    <row r="242" spans="1:2">
      <c r="A242" t="s">
        <v>196</v>
      </c>
      <c r="B242" s="2" t="s">
        <v>207</v>
      </c>
    </row>
    <row r="243" spans="1:2">
      <c r="A243" t="s">
        <v>197</v>
      </c>
      <c r="B243" s="2" t="s">
        <v>208</v>
      </c>
    </row>
    <row r="244" spans="1:2">
      <c r="A244" t="s">
        <v>198</v>
      </c>
      <c r="B244" s="2" t="s">
        <v>209</v>
      </c>
    </row>
    <row r="245" spans="1:2">
      <c r="A245" t="s">
        <v>199</v>
      </c>
      <c r="B245" s="2" t="s">
        <v>210</v>
      </c>
    </row>
    <row r="246" spans="1:2">
      <c r="A246" t="s">
        <v>200</v>
      </c>
      <c r="B246" s="2" t="s">
        <v>211</v>
      </c>
    </row>
    <row r="247" spans="1:2">
      <c r="B247" s="2" t="s">
        <v>212</v>
      </c>
    </row>
    <row r="248" spans="1:2">
      <c r="B248" s="1"/>
    </row>
    <row r="249" spans="1:2">
      <c r="A249" t="s">
        <v>201</v>
      </c>
      <c r="B249" s="1"/>
    </row>
    <row r="250" spans="1:2">
      <c r="A250" t="s">
        <v>202</v>
      </c>
      <c r="B250" s="2" t="s">
        <v>213</v>
      </c>
    </row>
    <row r="251" spans="1:2">
      <c r="A251" t="s">
        <v>203</v>
      </c>
      <c r="B251" s="2" t="s">
        <v>214</v>
      </c>
    </row>
    <row r="252" spans="1:2">
      <c r="A252" t="s">
        <v>204</v>
      </c>
      <c r="B252" s="2" t="s">
        <v>215</v>
      </c>
    </row>
    <row r="253" spans="1:2">
      <c r="A253" t="s">
        <v>205</v>
      </c>
      <c r="B253" s="2" t="s">
        <v>216</v>
      </c>
    </row>
    <row r="254" spans="1:2">
      <c r="A254" t="s">
        <v>206</v>
      </c>
      <c r="B254" s="2" t="s">
        <v>217</v>
      </c>
    </row>
    <row r="255" spans="1:2">
      <c r="A255" t="s">
        <v>207</v>
      </c>
      <c r="B255" s="2" t="s">
        <v>218</v>
      </c>
    </row>
    <row r="256" spans="1:2">
      <c r="A256" t="s">
        <v>208</v>
      </c>
      <c r="B256" s="2" t="s">
        <v>219</v>
      </c>
    </row>
    <row r="257" spans="1:2">
      <c r="A257" t="s">
        <v>209</v>
      </c>
      <c r="B257" s="2" t="s">
        <v>220</v>
      </c>
    </row>
    <row r="258" spans="1:2">
      <c r="A258" t="s">
        <v>210</v>
      </c>
      <c r="B258" s="2" t="s">
        <v>221</v>
      </c>
    </row>
    <row r="259" spans="1:2">
      <c r="A259" t="s">
        <v>211</v>
      </c>
      <c r="B259" s="2" t="s">
        <v>222</v>
      </c>
    </row>
    <row r="260" spans="1:2">
      <c r="A260" t="s">
        <v>212</v>
      </c>
      <c r="B260" s="2" t="s">
        <v>223</v>
      </c>
    </row>
    <row r="261" spans="1:2">
      <c r="B261" s="2" t="s">
        <v>224</v>
      </c>
    </row>
    <row r="262" spans="1:2">
      <c r="B262" s="2" t="s">
        <v>225</v>
      </c>
    </row>
    <row r="263" spans="1:2">
      <c r="A263" t="s">
        <v>213</v>
      </c>
      <c r="B263" s="1"/>
    </row>
    <row r="264" spans="1:2">
      <c r="A264" t="s">
        <v>214</v>
      </c>
      <c r="B264" s="1"/>
    </row>
    <row r="265" spans="1:2">
      <c r="A265" t="s">
        <v>215</v>
      </c>
      <c r="B265" s="2" t="s">
        <v>226</v>
      </c>
    </row>
    <row r="266" spans="1:2">
      <c r="A266" t="s">
        <v>216</v>
      </c>
      <c r="B266" s="2" t="s">
        <v>227</v>
      </c>
    </row>
    <row r="267" spans="1:2">
      <c r="A267" t="s">
        <v>217</v>
      </c>
      <c r="B267" s="2" t="s">
        <v>228</v>
      </c>
    </row>
    <row r="268" spans="1:2">
      <c r="A268" t="s">
        <v>218</v>
      </c>
      <c r="B268" s="2" t="s">
        <v>229</v>
      </c>
    </row>
    <row r="269" spans="1:2">
      <c r="A269" t="s">
        <v>219</v>
      </c>
      <c r="B269" s="2" t="s">
        <v>230</v>
      </c>
    </row>
    <row r="270" spans="1:2">
      <c r="A270" t="s">
        <v>220</v>
      </c>
      <c r="B270" s="2" t="s">
        <v>231</v>
      </c>
    </row>
    <row r="271" spans="1:2">
      <c r="A271" t="s">
        <v>221</v>
      </c>
      <c r="B271" s="2" t="s">
        <v>232</v>
      </c>
    </row>
    <row r="272" spans="1:2">
      <c r="A272" t="s">
        <v>222</v>
      </c>
      <c r="B272" s="2" t="s">
        <v>233</v>
      </c>
    </row>
    <row r="273" spans="1:2">
      <c r="A273" t="s">
        <v>223</v>
      </c>
      <c r="B273" s="2" t="s">
        <v>234</v>
      </c>
    </row>
    <row r="274" spans="1:2">
      <c r="A274" t="s">
        <v>224</v>
      </c>
      <c r="B274" s="2" t="s">
        <v>235</v>
      </c>
    </row>
    <row r="275" spans="1:2">
      <c r="A275" t="s">
        <v>225</v>
      </c>
      <c r="B275" s="2" t="s">
        <v>236</v>
      </c>
    </row>
    <row r="276" spans="1:2">
      <c r="B276" s="2" t="s">
        <v>237</v>
      </c>
    </row>
    <row r="277" spans="1:2">
      <c r="B277" s="1"/>
    </row>
    <row r="278" spans="1:2">
      <c r="A278" t="s">
        <v>226</v>
      </c>
      <c r="B278" s="1"/>
    </row>
    <row r="279" spans="1:2">
      <c r="A279" t="s">
        <v>227</v>
      </c>
      <c r="B279" s="2" t="s">
        <v>238</v>
      </c>
    </row>
    <row r="280" spans="1:2">
      <c r="A280" t="s">
        <v>228</v>
      </c>
      <c r="B280" s="2" t="s">
        <v>239</v>
      </c>
    </row>
    <row r="281" spans="1:2">
      <c r="A281" t="s">
        <v>229</v>
      </c>
      <c r="B281" s="2" t="s">
        <v>240</v>
      </c>
    </row>
    <row r="282" spans="1:2">
      <c r="A282" t="s">
        <v>230</v>
      </c>
      <c r="B282" s="2" t="s">
        <v>241</v>
      </c>
    </row>
    <row r="283" spans="1:2">
      <c r="A283" t="s">
        <v>231</v>
      </c>
      <c r="B283" s="2" t="s">
        <v>242</v>
      </c>
    </row>
    <row r="284" spans="1:2">
      <c r="A284" t="s">
        <v>232</v>
      </c>
      <c r="B284" s="2" t="s">
        <v>243</v>
      </c>
    </row>
    <row r="285" spans="1:2">
      <c r="A285" t="s">
        <v>233</v>
      </c>
      <c r="B285" s="2" t="s">
        <v>244</v>
      </c>
    </row>
    <row r="286" spans="1:2">
      <c r="A286" t="s">
        <v>234</v>
      </c>
      <c r="B286" s="2" t="s">
        <v>245</v>
      </c>
    </row>
    <row r="287" spans="1:2">
      <c r="A287" t="s">
        <v>235</v>
      </c>
      <c r="B287" s="2" t="s">
        <v>246</v>
      </c>
    </row>
    <row r="288" spans="1:2">
      <c r="A288" t="s">
        <v>236</v>
      </c>
      <c r="B288" s="2" t="s">
        <v>247</v>
      </c>
    </row>
    <row r="289" spans="1:2">
      <c r="A289" t="s">
        <v>237</v>
      </c>
      <c r="B289" s="2" t="s">
        <v>248</v>
      </c>
    </row>
    <row r="290" spans="1:2">
      <c r="B290" s="2" t="s">
        <v>249</v>
      </c>
    </row>
    <row r="291" spans="1:2">
      <c r="B291" s="2" t="s">
        <v>250</v>
      </c>
    </row>
    <row r="292" spans="1:2">
      <c r="A292" t="s">
        <v>238</v>
      </c>
      <c r="B292" s="1"/>
    </row>
    <row r="293" spans="1:2">
      <c r="A293" t="s">
        <v>239</v>
      </c>
      <c r="B293" s="1"/>
    </row>
    <row r="294" spans="1:2">
      <c r="A294" t="s">
        <v>240</v>
      </c>
      <c r="B294" s="2" t="s">
        <v>251</v>
      </c>
    </row>
    <row r="295" spans="1:2">
      <c r="A295" t="s">
        <v>241</v>
      </c>
      <c r="B295" s="2" t="s">
        <v>252</v>
      </c>
    </row>
    <row r="296" spans="1:2">
      <c r="A296" t="s">
        <v>242</v>
      </c>
      <c r="B296" s="2" t="s">
        <v>253</v>
      </c>
    </row>
    <row r="297" spans="1:2">
      <c r="A297" t="s">
        <v>243</v>
      </c>
      <c r="B297" s="2" t="s">
        <v>254</v>
      </c>
    </row>
    <row r="298" spans="1:2">
      <c r="A298" t="s">
        <v>244</v>
      </c>
      <c r="B298" s="2" t="s">
        <v>255</v>
      </c>
    </row>
    <row r="299" spans="1:2">
      <c r="A299" t="s">
        <v>245</v>
      </c>
      <c r="B299" s="2" t="s">
        <v>256</v>
      </c>
    </row>
    <row r="300" spans="1:2">
      <c r="A300" t="s">
        <v>246</v>
      </c>
      <c r="B300" s="2" t="s">
        <v>257</v>
      </c>
    </row>
    <row r="301" spans="1:2">
      <c r="A301" t="s">
        <v>247</v>
      </c>
      <c r="B301" s="2" t="s">
        <v>258</v>
      </c>
    </row>
    <row r="302" spans="1:2">
      <c r="A302" t="s">
        <v>248</v>
      </c>
      <c r="B302" s="2" t="s">
        <v>259</v>
      </c>
    </row>
    <row r="303" spans="1:2">
      <c r="A303" t="s">
        <v>249</v>
      </c>
      <c r="B303" s="2" t="s">
        <v>260</v>
      </c>
    </row>
    <row r="304" spans="1:2">
      <c r="A304" t="s">
        <v>250</v>
      </c>
      <c r="B304" s="2" t="s">
        <v>261</v>
      </c>
    </row>
    <row r="305" spans="1:2">
      <c r="B305" s="2" t="s">
        <v>262</v>
      </c>
    </row>
    <row r="306" spans="1:2">
      <c r="B306" s="1"/>
    </row>
    <row r="307" spans="1:2">
      <c r="A307" t="s">
        <v>251</v>
      </c>
      <c r="B307" s="1"/>
    </row>
    <row r="308" spans="1:2">
      <c r="A308" t="s">
        <v>252</v>
      </c>
      <c r="B308" s="2" t="s">
        <v>263</v>
      </c>
    </row>
    <row r="309" spans="1:2">
      <c r="A309" t="s">
        <v>253</v>
      </c>
      <c r="B309" s="2" t="s">
        <v>264</v>
      </c>
    </row>
    <row r="310" spans="1:2">
      <c r="A310" t="s">
        <v>254</v>
      </c>
      <c r="B310" s="2" t="s">
        <v>265</v>
      </c>
    </row>
    <row r="311" spans="1:2">
      <c r="A311" t="s">
        <v>255</v>
      </c>
      <c r="B311" s="2" t="s">
        <v>266</v>
      </c>
    </row>
    <row r="312" spans="1:2">
      <c r="A312" t="s">
        <v>256</v>
      </c>
      <c r="B312" s="2" t="s">
        <v>267</v>
      </c>
    </row>
    <row r="313" spans="1:2">
      <c r="A313" t="s">
        <v>257</v>
      </c>
      <c r="B313" s="2" t="s">
        <v>268</v>
      </c>
    </row>
    <row r="314" spans="1:2">
      <c r="A314" t="s">
        <v>258</v>
      </c>
      <c r="B314" s="2" t="s">
        <v>269</v>
      </c>
    </row>
    <row r="315" spans="1:2">
      <c r="A315" t="s">
        <v>259</v>
      </c>
      <c r="B315" s="2" t="s">
        <v>270</v>
      </c>
    </row>
    <row r="316" spans="1:2">
      <c r="A316" t="s">
        <v>260</v>
      </c>
      <c r="B316" s="2" t="s">
        <v>271</v>
      </c>
    </row>
    <row r="317" spans="1:2">
      <c r="A317" t="s">
        <v>261</v>
      </c>
      <c r="B317" s="2" t="s">
        <v>272</v>
      </c>
    </row>
    <row r="318" spans="1:2">
      <c r="A318" t="s">
        <v>262</v>
      </c>
      <c r="B318" s="2" t="s">
        <v>273</v>
      </c>
    </row>
    <row r="319" spans="1:2">
      <c r="B319" s="2" t="s">
        <v>274</v>
      </c>
    </row>
    <row r="320" spans="1:2">
      <c r="B320" s="2" t="s">
        <v>275</v>
      </c>
    </row>
    <row r="321" spans="1:2">
      <c r="A321" t="s">
        <v>263</v>
      </c>
      <c r="B321" s="1"/>
    </row>
    <row r="322" spans="1:2">
      <c r="A322" t="s">
        <v>264</v>
      </c>
      <c r="B322" s="1"/>
    </row>
    <row r="323" spans="1:2">
      <c r="A323" t="s">
        <v>265</v>
      </c>
      <c r="B323" s="2" t="s">
        <v>276</v>
      </c>
    </row>
    <row r="324" spans="1:2">
      <c r="A324" t="s">
        <v>266</v>
      </c>
      <c r="B324" s="2" t="s">
        <v>277</v>
      </c>
    </row>
    <row r="325" spans="1:2">
      <c r="A325" t="s">
        <v>267</v>
      </c>
      <c r="B325" s="2" t="s">
        <v>278</v>
      </c>
    </row>
    <row r="326" spans="1:2">
      <c r="A326" t="s">
        <v>268</v>
      </c>
      <c r="B326" s="2" t="s">
        <v>279</v>
      </c>
    </row>
    <row r="327" spans="1:2">
      <c r="A327" t="s">
        <v>269</v>
      </c>
      <c r="B327" s="2" t="s">
        <v>280</v>
      </c>
    </row>
    <row r="328" spans="1:2">
      <c r="A328" t="s">
        <v>270</v>
      </c>
      <c r="B328" s="2" t="s">
        <v>281</v>
      </c>
    </row>
    <row r="329" spans="1:2">
      <c r="A329" t="s">
        <v>271</v>
      </c>
      <c r="B329" s="2" t="s">
        <v>282</v>
      </c>
    </row>
    <row r="330" spans="1:2">
      <c r="A330" t="s">
        <v>272</v>
      </c>
      <c r="B330" s="2" t="s">
        <v>283</v>
      </c>
    </row>
    <row r="331" spans="1:2">
      <c r="A331" t="s">
        <v>273</v>
      </c>
      <c r="B331" s="2" t="s">
        <v>284</v>
      </c>
    </row>
    <row r="332" spans="1:2">
      <c r="A332" t="s">
        <v>274</v>
      </c>
      <c r="B332" s="2" t="s">
        <v>285</v>
      </c>
    </row>
    <row r="333" spans="1:2">
      <c r="A333" t="s">
        <v>275</v>
      </c>
      <c r="B333" s="2" t="s">
        <v>286</v>
      </c>
    </row>
    <row r="334" spans="1:2">
      <c r="B334" s="2" t="s">
        <v>287</v>
      </c>
    </row>
    <row r="335" spans="1:2">
      <c r="B335" s="1"/>
    </row>
    <row r="336" spans="1:2">
      <c r="A336" t="s">
        <v>276</v>
      </c>
      <c r="B336" s="1"/>
    </row>
    <row r="337" spans="1:2">
      <c r="A337" t="s">
        <v>277</v>
      </c>
      <c r="B337" s="2" t="s">
        <v>288</v>
      </c>
    </row>
    <row r="338" spans="1:2">
      <c r="A338" t="s">
        <v>278</v>
      </c>
      <c r="B338" s="2" t="s">
        <v>289</v>
      </c>
    </row>
    <row r="339" spans="1:2">
      <c r="A339" t="s">
        <v>279</v>
      </c>
      <c r="B339" s="2" t="s">
        <v>290</v>
      </c>
    </row>
    <row r="340" spans="1:2">
      <c r="A340" t="s">
        <v>280</v>
      </c>
      <c r="B340" s="2" t="s">
        <v>291</v>
      </c>
    </row>
    <row r="341" spans="1:2">
      <c r="A341" t="s">
        <v>281</v>
      </c>
      <c r="B341" s="2" t="s">
        <v>292</v>
      </c>
    </row>
    <row r="342" spans="1:2">
      <c r="A342" t="s">
        <v>282</v>
      </c>
      <c r="B342" s="2" t="s">
        <v>293</v>
      </c>
    </row>
    <row r="343" spans="1:2">
      <c r="A343" t="s">
        <v>283</v>
      </c>
      <c r="B343" s="2" t="s">
        <v>294</v>
      </c>
    </row>
    <row r="344" spans="1:2">
      <c r="A344" t="s">
        <v>284</v>
      </c>
      <c r="B344" s="2" t="s">
        <v>295</v>
      </c>
    </row>
    <row r="345" spans="1:2">
      <c r="A345" t="s">
        <v>285</v>
      </c>
      <c r="B345" s="2" t="s">
        <v>296</v>
      </c>
    </row>
    <row r="346" spans="1:2">
      <c r="A346" t="s">
        <v>286</v>
      </c>
      <c r="B346" s="2" t="s">
        <v>297</v>
      </c>
    </row>
    <row r="347" spans="1:2">
      <c r="A347" t="s">
        <v>287</v>
      </c>
      <c r="B347" s="2" t="s">
        <v>298</v>
      </c>
    </row>
    <row r="348" spans="1:2">
      <c r="B348" s="2" t="s">
        <v>299</v>
      </c>
    </row>
    <row r="349" spans="1:2">
      <c r="B349" s="1"/>
    </row>
    <row r="350" spans="1:2">
      <c r="A350" t="s">
        <v>288</v>
      </c>
      <c r="B350" s="1"/>
    </row>
    <row r="351" spans="1:2">
      <c r="A351" t="s">
        <v>289</v>
      </c>
      <c r="B351" s="2" t="s">
        <v>300</v>
      </c>
    </row>
    <row r="352" spans="1:2">
      <c r="A352" t="s">
        <v>290</v>
      </c>
      <c r="B352" s="2" t="s">
        <v>301</v>
      </c>
    </row>
    <row r="353" spans="1:2">
      <c r="A353" t="s">
        <v>291</v>
      </c>
      <c r="B353" s="2" t="s">
        <v>302</v>
      </c>
    </row>
    <row r="354" spans="1:2">
      <c r="A354" t="s">
        <v>292</v>
      </c>
      <c r="B354" s="2" t="s">
        <v>303</v>
      </c>
    </row>
    <row r="355" spans="1:2">
      <c r="A355" t="s">
        <v>293</v>
      </c>
      <c r="B355" s="2" t="s">
        <v>304</v>
      </c>
    </row>
    <row r="356" spans="1:2">
      <c r="A356" t="s">
        <v>294</v>
      </c>
      <c r="B356" s="2" t="s">
        <v>305</v>
      </c>
    </row>
    <row r="357" spans="1:2">
      <c r="A357" t="s">
        <v>295</v>
      </c>
      <c r="B357" s="2" t="s">
        <v>306</v>
      </c>
    </row>
    <row r="358" spans="1:2">
      <c r="A358" t="s">
        <v>296</v>
      </c>
      <c r="B358" s="2" t="s">
        <v>307</v>
      </c>
    </row>
    <row r="359" spans="1:2">
      <c r="A359" t="s">
        <v>297</v>
      </c>
      <c r="B359" s="2" t="s">
        <v>308</v>
      </c>
    </row>
    <row r="360" spans="1:2">
      <c r="A360" t="s">
        <v>298</v>
      </c>
      <c r="B360" s="2" t="s">
        <v>309</v>
      </c>
    </row>
    <row r="361" spans="1:2">
      <c r="A361" t="s">
        <v>299</v>
      </c>
      <c r="B361" s="2" t="s">
        <v>310</v>
      </c>
    </row>
    <row r="362" spans="1:2">
      <c r="B362" s="2" t="s">
        <v>311</v>
      </c>
    </row>
    <row r="363" spans="1:2">
      <c r="B363" s="1"/>
    </row>
    <row r="364" spans="1:2">
      <c r="A364" t="s">
        <v>300</v>
      </c>
      <c r="B364" s="1"/>
    </row>
    <row r="365" spans="1:2">
      <c r="A365" t="s">
        <v>301</v>
      </c>
      <c r="B365" s="2" t="s">
        <v>312</v>
      </c>
    </row>
    <row r="366" spans="1:2">
      <c r="A366" t="s">
        <v>302</v>
      </c>
      <c r="B366" s="2" t="s">
        <v>313</v>
      </c>
    </row>
    <row r="367" spans="1:2">
      <c r="A367" t="s">
        <v>303</v>
      </c>
      <c r="B367" s="2" t="s">
        <v>314</v>
      </c>
    </row>
    <row r="368" spans="1:2">
      <c r="A368" t="s">
        <v>304</v>
      </c>
      <c r="B368" s="2" t="s">
        <v>315</v>
      </c>
    </row>
    <row r="369" spans="1:2">
      <c r="A369" t="s">
        <v>305</v>
      </c>
      <c r="B369" s="2" t="s">
        <v>316</v>
      </c>
    </row>
    <row r="370" spans="1:2">
      <c r="A370" t="s">
        <v>306</v>
      </c>
      <c r="B370" s="2" t="s">
        <v>317</v>
      </c>
    </row>
    <row r="371" spans="1:2">
      <c r="A371" t="s">
        <v>307</v>
      </c>
      <c r="B371" s="2" t="s">
        <v>318</v>
      </c>
    </row>
    <row r="372" spans="1:2">
      <c r="A372" t="s">
        <v>308</v>
      </c>
      <c r="B372" s="2" t="s">
        <v>319</v>
      </c>
    </row>
    <row r="373" spans="1:2">
      <c r="A373" t="s">
        <v>309</v>
      </c>
      <c r="B373" s="2" t="s">
        <v>320</v>
      </c>
    </row>
    <row r="374" spans="1:2">
      <c r="A374" t="s">
        <v>310</v>
      </c>
      <c r="B374" s="2" t="s">
        <v>321</v>
      </c>
    </row>
    <row r="375" spans="1:2">
      <c r="A375" t="s">
        <v>311</v>
      </c>
      <c r="B375" s="2" t="s">
        <v>322</v>
      </c>
    </row>
    <row r="376" spans="1:2">
      <c r="B376" s="2" t="s">
        <v>323</v>
      </c>
    </row>
    <row r="377" spans="1:2">
      <c r="B377" s="1"/>
    </row>
    <row r="378" spans="1:2">
      <c r="A378" t="s">
        <v>312</v>
      </c>
      <c r="B378" s="1"/>
    </row>
    <row r="379" spans="1:2">
      <c r="A379" t="s">
        <v>313</v>
      </c>
      <c r="B379" s="2" t="s">
        <v>324</v>
      </c>
    </row>
    <row r="380" spans="1:2">
      <c r="A380" t="s">
        <v>314</v>
      </c>
      <c r="B380" s="2" t="s">
        <v>325</v>
      </c>
    </row>
    <row r="381" spans="1:2">
      <c r="A381" t="s">
        <v>315</v>
      </c>
      <c r="B381" s="2" t="s">
        <v>326</v>
      </c>
    </row>
    <row r="382" spans="1:2">
      <c r="A382" t="s">
        <v>316</v>
      </c>
      <c r="B382" s="2" t="s">
        <v>327</v>
      </c>
    </row>
    <row r="383" spans="1:2">
      <c r="A383" t="s">
        <v>317</v>
      </c>
      <c r="B383" s="2" t="s">
        <v>328</v>
      </c>
    </row>
    <row r="384" spans="1:2">
      <c r="A384" t="s">
        <v>318</v>
      </c>
      <c r="B384" s="2" t="s">
        <v>329</v>
      </c>
    </row>
    <row r="385" spans="1:2">
      <c r="A385" t="s">
        <v>319</v>
      </c>
      <c r="B385" s="2" t="s">
        <v>330</v>
      </c>
    </row>
    <row r="386" spans="1:2">
      <c r="A386" t="s">
        <v>320</v>
      </c>
      <c r="B386" s="2" t="s">
        <v>331</v>
      </c>
    </row>
    <row r="387" spans="1:2">
      <c r="A387" t="s">
        <v>321</v>
      </c>
      <c r="B387" s="2" t="s">
        <v>332</v>
      </c>
    </row>
    <row r="388" spans="1:2">
      <c r="A388" t="s">
        <v>322</v>
      </c>
      <c r="B388" s="2" t="s">
        <v>333</v>
      </c>
    </row>
    <row r="389" spans="1:2">
      <c r="A389" t="s">
        <v>323</v>
      </c>
      <c r="B389" s="2" t="s">
        <v>334</v>
      </c>
    </row>
    <row r="390" spans="1:2">
      <c r="B390" s="2" t="s">
        <v>335</v>
      </c>
    </row>
    <row r="391" spans="1:2">
      <c r="B391" s="1"/>
    </row>
    <row r="392" spans="1:2">
      <c r="A392" t="s">
        <v>324</v>
      </c>
      <c r="B392" s="1"/>
    </row>
    <row r="393" spans="1:2">
      <c r="A393" t="s">
        <v>325</v>
      </c>
      <c r="B393" s="2" t="s">
        <v>336</v>
      </c>
    </row>
    <row r="394" spans="1:2">
      <c r="A394" t="s">
        <v>326</v>
      </c>
      <c r="B394" s="2" t="s">
        <v>337</v>
      </c>
    </row>
    <row r="395" spans="1:2">
      <c r="A395" t="s">
        <v>327</v>
      </c>
      <c r="B395" s="2" t="s">
        <v>338</v>
      </c>
    </row>
    <row r="396" spans="1:2">
      <c r="A396" t="s">
        <v>328</v>
      </c>
      <c r="B396" s="2" t="s">
        <v>339</v>
      </c>
    </row>
    <row r="397" spans="1:2">
      <c r="A397" t="s">
        <v>329</v>
      </c>
      <c r="B397" s="2" t="s">
        <v>340</v>
      </c>
    </row>
    <row r="398" spans="1:2">
      <c r="A398" t="s">
        <v>330</v>
      </c>
      <c r="B398" s="2" t="s">
        <v>341</v>
      </c>
    </row>
    <row r="399" spans="1:2">
      <c r="A399" t="s">
        <v>331</v>
      </c>
      <c r="B399" s="2" t="s">
        <v>342</v>
      </c>
    </row>
    <row r="400" spans="1:2">
      <c r="A400" t="s">
        <v>332</v>
      </c>
      <c r="B400" s="2" t="s">
        <v>343</v>
      </c>
    </row>
    <row r="401" spans="1:2">
      <c r="A401" t="s">
        <v>333</v>
      </c>
      <c r="B401" s="2" t="s">
        <v>344</v>
      </c>
    </row>
    <row r="402" spans="1:2">
      <c r="A402" t="s">
        <v>334</v>
      </c>
      <c r="B402" s="2" t="s">
        <v>345</v>
      </c>
    </row>
    <row r="403" spans="1:2">
      <c r="A403" t="s">
        <v>335</v>
      </c>
      <c r="B403" s="2" t="s">
        <v>346</v>
      </c>
    </row>
    <row r="404" spans="1:2">
      <c r="B404" s="2" t="s">
        <v>347</v>
      </c>
    </row>
    <row r="405" spans="1:2">
      <c r="B405" s="1"/>
    </row>
    <row r="406" spans="1:2">
      <c r="A406" t="s">
        <v>336</v>
      </c>
      <c r="B406" s="1"/>
    </row>
    <row r="407" spans="1:2">
      <c r="A407" t="s">
        <v>337</v>
      </c>
      <c r="B407" s="2" t="s">
        <v>348</v>
      </c>
    </row>
    <row r="408" spans="1:2">
      <c r="A408" t="s">
        <v>338</v>
      </c>
      <c r="B408" s="2" t="s">
        <v>349</v>
      </c>
    </row>
    <row r="409" spans="1:2">
      <c r="A409" t="s">
        <v>339</v>
      </c>
      <c r="B409" s="2" t="s">
        <v>350</v>
      </c>
    </row>
    <row r="410" spans="1:2">
      <c r="A410" t="s">
        <v>340</v>
      </c>
      <c r="B410" s="2" t="s">
        <v>351</v>
      </c>
    </row>
    <row r="411" spans="1:2">
      <c r="A411" t="s">
        <v>341</v>
      </c>
      <c r="B411" s="2" t="s">
        <v>352</v>
      </c>
    </row>
    <row r="412" spans="1:2">
      <c r="A412" t="s">
        <v>342</v>
      </c>
      <c r="B412" s="2" t="s">
        <v>353</v>
      </c>
    </row>
    <row r="413" spans="1:2">
      <c r="A413" t="s">
        <v>343</v>
      </c>
      <c r="B413" s="2" t="s">
        <v>354</v>
      </c>
    </row>
    <row r="414" spans="1:2">
      <c r="A414" t="s">
        <v>344</v>
      </c>
      <c r="B414" s="2" t="s">
        <v>355</v>
      </c>
    </row>
    <row r="415" spans="1:2">
      <c r="A415" t="s">
        <v>345</v>
      </c>
      <c r="B415" s="2" t="s">
        <v>356</v>
      </c>
    </row>
    <row r="416" spans="1:2">
      <c r="A416" t="s">
        <v>346</v>
      </c>
      <c r="B416" s="2" t="s">
        <v>357</v>
      </c>
    </row>
    <row r="417" spans="1:2">
      <c r="A417" t="s">
        <v>347</v>
      </c>
      <c r="B417" s="2" t="s">
        <v>358</v>
      </c>
    </row>
    <row r="418" spans="1:2">
      <c r="B418" s="2" t="s">
        <v>359</v>
      </c>
    </row>
    <row r="419" spans="1:2">
      <c r="B419" s="1"/>
    </row>
    <row r="420" spans="1:2">
      <c r="A420" t="s">
        <v>348</v>
      </c>
      <c r="B420" s="1"/>
    </row>
    <row r="421" spans="1:2">
      <c r="A421" t="s">
        <v>349</v>
      </c>
      <c r="B421" s="2" t="s">
        <v>360</v>
      </c>
    </row>
    <row r="422" spans="1:2">
      <c r="A422" t="s">
        <v>350</v>
      </c>
      <c r="B422" s="2" t="s">
        <v>361</v>
      </c>
    </row>
    <row r="423" spans="1:2">
      <c r="A423" t="s">
        <v>351</v>
      </c>
      <c r="B423" s="2" t="s">
        <v>362</v>
      </c>
    </row>
    <row r="424" spans="1:2">
      <c r="A424" t="s">
        <v>352</v>
      </c>
      <c r="B424" s="2" t="s">
        <v>363</v>
      </c>
    </row>
    <row r="425" spans="1:2">
      <c r="A425" t="s">
        <v>353</v>
      </c>
      <c r="B425" s="2" t="s">
        <v>364</v>
      </c>
    </row>
    <row r="426" spans="1:2">
      <c r="A426" t="s">
        <v>354</v>
      </c>
      <c r="B426" s="2" t="s">
        <v>365</v>
      </c>
    </row>
    <row r="427" spans="1:2">
      <c r="A427" t="s">
        <v>355</v>
      </c>
      <c r="B427" s="2" t="s">
        <v>366</v>
      </c>
    </row>
    <row r="428" spans="1:2">
      <c r="A428" t="s">
        <v>356</v>
      </c>
      <c r="B428" s="2" t="s">
        <v>367</v>
      </c>
    </row>
    <row r="429" spans="1:2">
      <c r="A429" t="s">
        <v>357</v>
      </c>
      <c r="B429" s="2" t="s">
        <v>368</v>
      </c>
    </row>
    <row r="430" spans="1:2">
      <c r="A430" t="s">
        <v>358</v>
      </c>
      <c r="B430" s="2" t="s">
        <v>369</v>
      </c>
    </row>
    <row r="431" spans="1:2">
      <c r="A431" t="s">
        <v>359</v>
      </c>
      <c r="B431" s="2" t="s">
        <v>370</v>
      </c>
    </row>
    <row r="432" spans="1:2">
      <c r="B432" s="2" t="s">
        <v>371</v>
      </c>
    </row>
    <row r="433" spans="1:2">
      <c r="B433" s="1"/>
    </row>
    <row r="434" spans="1:2">
      <c r="A434" t="s">
        <v>360</v>
      </c>
      <c r="B434" s="1"/>
    </row>
    <row r="435" spans="1:2">
      <c r="A435" t="s">
        <v>361</v>
      </c>
      <c r="B435" s="2" t="s">
        <v>372</v>
      </c>
    </row>
    <row r="436" spans="1:2">
      <c r="A436" t="s">
        <v>362</v>
      </c>
      <c r="B436" s="2" t="s">
        <v>373</v>
      </c>
    </row>
    <row r="437" spans="1:2">
      <c r="A437" t="s">
        <v>363</v>
      </c>
      <c r="B437" s="2" t="s">
        <v>374</v>
      </c>
    </row>
    <row r="438" spans="1:2">
      <c r="A438" t="s">
        <v>364</v>
      </c>
      <c r="B438" s="2" t="s">
        <v>375</v>
      </c>
    </row>
    <row r="439" spans="1:2">
      <c r="A439" t="s">
        <v>365</v>
      </c>
      <c r="B439" s="2" t="s">
        <v>376</v>
      </c>
    </row>
    <row r="440" spans="1:2">
      <c r="A440" t="s">
        <v>366</v>
      </c>
      <c r="B440" s="2" t="s">
        <v>377</v>
      </c>
    </row>
    <row r="441" spans="1:2">
      <c r="A441" t="s">
        <v>367</v>
      </c>
      <c r="B441" s="2" t="s">
        <v>378</v>
      </c>
    </row>
    <row r="442" spans="1:2">
      <c r="A442" t="s">
        <v>368</v>
      </c>
      <c r="B442" s="2" t="s">
        <v>379</v>
      </c>
    </row>
    <row r="443" spans="1:2">
      <c r="A443" t="s">
        <v>369</v>
      </c>
      <c r="B443" s="2" t="s">
        <v>380</v>
      </c>
    </row>
    <row r="444" spans="1:2">
      <c r="A444" t="s">
        <v>370</v>
      </c>
      <c r="B444" s="2" t="s">
        <v>381</v>
      </c>
    </row>
    <row r="445" spans="1:2">
      <c r="A445" t="s">
        <v>371</v>
      </c>
      <c r="B445" s="2" t="s">
        <v>382</v>
      </c>
    </row>
    <row r="446" spans="1:2">
      <c r="B446" s="2" t="s">
        <v>383</v>
      </c>
    </row>
    <row r="447" spans="1:2">
      <c r="B447" s="1"/>
    </row>
    <row r="448" spans="1:2">
      <c r="A448" t="s">
        <v>372</v>
      </c>
      <c r="B448" s="1"/>
    </row>
    <row r="449" spans="1:2">
      <c r="A449" t="s">
        <v>373</v>
      </c>
      <c r="B449" s="2" t="s">
        <v>384</v>
      </c>
    </row>
    <row r="450" spans="1:2">
      <c r="A450" t="s">
        <v>374</v>
      </c>
      <c r="B450" s="2" t="s">
        <v>385</v>
      </c>
    </row>
    <row r="451" spans="1:2">
      <c r="A451" t="s">
        <v>375</v>
      </c>
      <c r="B451" s="2" t="s">
        <v>386</v>
      </c>
    </row>
    <row r="452" spans="1:2">
      <c r="A452" t="s">
        <v>376</v>
      </c>
      <c r="B452" s="2" t="s">
        <v>387</v>
      </c>
    </row>
    <row r="453" spans="1:2">
      <c r="A453" t="s">
        <v>377</v>
      </c>
      <c r="B453" s="2" t="s">
        <v>388</v>
      </c>
    </row>
    <row r="454" spans="1:2">
      <c r="A454" t="s">
        <v>378</v>
      </c>
      <c r="B454" s="2" t="s">
        <v>389</v>
      </c>
    </row>
    <row r="455" spans="1:2">
      <c r="A455" t="s">
        <v>379</v>
      </c>
      <c r="B455" s="2" t="s">
        <v>390</v>
      </c>
    </row>
    <row r="456" spans="1:2">
      <c r="A456" t="s">
        <v>380</v>
      </c>
      <c r="B456" s="2" t="s">
        <v>391</v>
      </c>
    </row>
    <row r="457" spans="1:2">
      <c r="A457" t="s">
        <v>381</v>
      </c>
      <c r="B457" s="2" t="s">
        <v>392</v>
      </c>
    </row>
    <row r="458" spans="1:2">
      <c r="A458" t="s">
        <v>382</v>
      </c>
      <c r="B458" s="2" t="s">
        <v>393</v>
      </c>
    </row>
    <row r="459" spans="1:2">
      <c r="A459" t="s">
        <v>383</v>
      </c>
      <c r="B459" s="2" t="s">
        <v>394</v>
      </c>
    </row>
    <row r="460" spans="1:2">
      <c r="B460" s="2" t="s">
        <v>395</v>
      </c>
    </row>
    <row r="461" spans="1:2">
      <c r="B461" s="1"/>
    </row>
    <row r="462" spans="1:2">
      <c r="A462" t="s">
        <v>384</v>
      </c>
      <c r="B462" s="1"/>
    </row>
    <row r="463" spans="1:2">
      <c r="A463" t="s">
        <v>385</v>
      </c>
      <c r="B463" s="2" t="s">
        <v>396</v>
      </c>
    </row>
    <row r="464" spans="1:2">
      <c r="A464" t="s">
        <v>386</v>
      </c>
      <c r="B464" s="2" t="s">
        <v>397</v>
      </c>
    </row>
    <row r="465" spans="1:2">
      <c r="A465" t="s">
        <v>387</v>
      </c>
      <c r="B465" s="2" t="s">
        <v>398</v>
      </c>
    </row>
    <row r="466" spans="1:2">
      <c r="A466" t="s">
        <v>388</v>
      </c>
      <c r="B466" s="2" t="s">
        <v>399</v>
      </c>
    </row>
    <row r="467" spans="1:2">
      <c r="A467" t="s">
        <v>389</v>
      </c>
      <c r="B467" s="2" t="s">
        <v>400</v>
      </c>
    </row>
    <row r="468" spans="1:2">
      <c r="A468" t="s">
        <v>390</v>
      </c>
      <c r="B468" s="2" t="s">
        <v>401</v>
      </c>
    </row>
    <row r="469" spans="1:2">
      <c r="A469" t="s">
        <v>391</v>
      </c>
      <c r="B469" s="2" t="s">
        <v>402</v>
      </c>
    </row>
    <row r="470" spans="1:2">
      <c r="A470" t="s">
        <v>392</v>
      </c>
      <c r="B470" s="2" t="s">
        <v>403</v>
      </c>
    </row>
    <row r="471" spans="1:2">
      <c r="A471" t="s">
        <v>393</v>
      </c>
      <c r="B471" s="2" t="s">
        <v>404</v>
      </c>
    </row>
    <row r="472" spans="1:2">
      <c r="A472" t="s">
        <v>394</v>
      </c>
      <c r="B472" s="2" t="s">
        <v>405</v>
      </c>
    </row>
    <row r="473" spans="1:2">
      <c r="A473" t="s">
        <v>395</v>
      </c>
      <c r="B473" s="2" t="s">
        <v>406</v>
      </c>
    </row>
    <row r="474" spans="1:2">
      <c r="B474" s="2" t="s">
        <v>407</v>
      </c>
    </row>
    <row r="475" spans="1:2">
      <c r="B475" s="1"/>
    </row>
    <row r="476" spans="1:2">
      <c r="A476" t="s">
        <v>396</v>
      </c>
      <c r="B476" s="1"/>
    </row>
    <row r="477" spans="1:2">
      <c r="A477" t="s">
        <v>397</v>
      </c>
      <c r="B477" s="2" t="s">
        <v>408</v>
      </c>
    </row>
    <row r="478" spans="1:2">
      <c r="A478" t="s">
        <v>398</v>
      </c>
      <c r="B478" s="2" t="s">
        <v>409</v>
      </c>
    </row>
    <row r="479" spans="1:2">
      <c r="A479" t="s">
        <v>399</v>
      </c>
      <c r="B479" s="2" t="s">
        <v>410</v>
      </c>
    </row>
    <row r="480" spans="1:2">
      <c r="A480" t="s">
        <v>400</v>
      </c>
      <c r="B480" s="2" t="s">
        <v>411</v>
      </c>
    </row>
    <row r="481" spans="1:2">
      <c r="A481" t="s">
        <v>401</v>
      </c>
      <c r="B481" s="2" t="s">
        <v>412</v>
      </c>
    </row>
    <row r="482" spans="1:2">
      <c r="A482" t="s">
        <v>402</v>
      </c>
      <c r="B482" s="2" t="s">
        <v>413</v>
      </c>
    </row>
    <row r="483" spans="1:2">
      <c r="A483" t="s">
        <v>403</v>
      </c>
      <c r="B483" s="2" t="s">
        <v>414</v>
      </c>
    </row>
    <row r="484" spans="1:2">
      <c r="A484" t="s">
        <v>404</v>
      </c>
      <c r="B484" s="2" t="s">
        <v>415</v>
      </c>
    </row>
    <row r="485" spans="1:2">
      <c r="A485" t="s">
        <v>405</v>
      </c>
      <c r="B485" s="2" t="s">
        <v>416</v>
      </c>
    </row>
    <row r="486" spans="1:2">
      <c r="A486" t="s">
        <v>406</v>
      </c>
      <c r="B486" s="2" t="s">
        <v>417</v>
      </c>
    </row>
    <row r="487" spans="1:2">
      <c r="A487" t="s">
        <v>407</v>
      </c>
      <c r="B487" s="2" t="s">
        <v>418</v>
      </c>
    </row>
    <row r="488" spans="1:2">
      <c r="B488" s="2" t="s">
        <v>419</v>
      </c>
    </row>
    <row r="489" spans="1:2">
      <c r="B489" s="1"/>
    </row>
    <row r="490" spans="1:2">
      <c r="A490" t="s">
        <v>408</v>
      </c>
      <c r="B490" s="1"/>
    </row>
    <row r="491" spans="1:2">
      <c r="A491" t="s">
        <v>409</v>
      </c>
      <c r="B491" s="2" t="s">
        <v>420</v>
      </c>
    </row>
    <row r="492" spans="1:2">
      <c r="A492" t="s">
        <v>410</v>
      </c>
      <c r="B492" s="2" t="s">
        <v>421</v>
      </c>
    </row>
    <row r="493" spans="1:2">
      <c r="A493" t="s">
        <v>411</v>
      </c>
      <c r="B493" s="2" t="s">
        <v>422</v>
      </c>
    </row>
    <row r="494" spans="1:2">
      <c r="A494" t="s">
        <v>412</v>
      </c>
      <c r="B494" s="2" t="s">
        <v>423</v>
      </c>
    </row>
    <row r="495" spans="1:2">
      <c r="A495" t="s">
        <v>413</v>
      </c>
      <c r="B495" s="2" t="s">
        <v>424</v>
      </c>
    </row>
    <row r="496" spans="1:2">
      <c r="A496" t="s">
        <v>414</v>
      </c>
      <c r="B496" s="2" t="s">
        <v>425</v>
      </c>
    </row>
    <row r="497" spans="1:2">
      <c r="A497" t="s">
        <v>415</v>
      </c>
      <c r="B497" s="2" t="s">
        <v>426</v>
      </c>
    </row>
    <row r="498" spans="1:2">
      <c r="A498" t="s">
        <v>416</v>
      </c>
      <c r="B498" s="2" t="s">
        <v>427</v>
      </c>
    </row>
    <row r="499" spans="1:2">
      <c r="A499" t="s">
        <v>417</v>
      </c>
      <c r="B499" s="2" t="s">
        <v>428</v>
      </c>
    </row>
    <row r="500" spans="1:2">
      <c r="A500" t="s">
        <v>418</v>
      </c>
      <c r="B500" s="2" t="s">
        <v>429</v>
      </c>
    </row>
    <row r="501" spans="1:2">
      <c r="A501" t="s">
        <v>419</v>
      </c>
      <c r="B501" s="2" t="s">
        <v>430</v>
      </c>
    </row>
    <row r="502" spans="1:2">
      <c r="B502" s="2" t="s">
        <v>431</v>
      </c>
    </row>
    <row r="503" spans="1:2">
      <c r="B503" s="1"/>
    </row>
    <row r="504" spans="1:2">
      <c r="A504" t="s">
        <v>420</v>
      </c>
      <c r="B504" s="1"/>
    </row>
    <row r="505" spans="1:2">
      <c r="A505" t="s">
        <v>421</v>
      </c>
      <c r="B505" s="2" t="s">
        <v>432</v>
      </c>
    </row>
    <row r="506" spans="1:2">
      <c r="A506" t="s">
        <v>422</v>
      </c>
      <c r="B506" s="2" t="s">
        <v>433</v>
      </c>
    </row>
    <row r="507" spans="1:2">
      <c r="A507" t="s">
        <v>423</v>
      </c>
      <c r="B507" s="2" t="s">
        <v>434</v>
      </c>
    </row>
    <row r="508" spans="1:2">
      <c r="A508" t="s">
        <v>424</v>
      </c>
      <c r="B508" s="2" t="s">
        <v>435</v>
      </c>
    </row>
    <row r="509" spans="1:2">
      <c r="A509" t="s">
        <v>425</v>
      </c>
      <c r="B509" s="2" t="s">
        <v>436</v>
      </c>
    </row>
    <row r="510" spans="1:2">
      <c r="A510" t="s">
        <v>426</v>
      </c>
      <c r="B510" s="2" t="s">
        <v>437</v>
      </c>
    </row>
    <row r="511" spans="1:2">
      <c r="A511" t="s">
        <v>427</v>
      </c>
      <c r="B511" s="2" t="s">
        <v>438</v>
      </c>
    </row>
    <row r="512" spans="1:2">
      <c r="A512" t="s">
        <v>428</v>
      </c>
      <c r="B512" s="2" t="s">
        <v>439</v>
      </c>
    </row>
    <row r="513" spans="1:2">
      <c r="A513" t="s">
        <v>429</v>
      </c>
      <c r="B513" s="2" t="s">
        <v>440</v>
      </c>
    </row>
    <row r="514" spans="1:2">
      <c r="A514" t="s">
        <v>430</v>
      </c>
      <c r="B514" s="2" t="s">
        <v>441</v>
      </c>
    </row>
    <row r="515" spans="1:2">
      <c r="A515" t="s">
        <v>431</v>
      </c>
      <c r="B515" s="2" t="s">
        <v>442</v>
      </c>
    </row>
    <row r="516" spans="1:2">
      <c r="B516" s="2" t="s">
        <v>443</v>
      </c>
    </row>
    <row r="517" spans="1:2">
      <c r="B517" s="2" t="s">
        <v>444</v>
      </c>
    </row>
    <row r="518" spans="1:2">
      <c r="A518" t="s">
        <v>432</v>
      </c>
      <c r="B518" s="1"/>
    </row>
    <row r="519" spans="1:2">
      <c r="A519" t="s">
        <v>433</v>
      </c>
      <c r="B519" s="1"/>
    </row>
    <row r="520" spans="1:2">
      <c r="A520" t="s">
        <v>434</v>
      </c>
      <c r="B520" s="2" t="s">
        <v>445</v>
      </c>
    </row>
    <row r="521" spans="1:2">
      <c r="A521" t="s">
        <v>435</v>
      </c>
      <c r="B521" s="2" t="s">
        <v>446</v>
      </c>
    </row>
    <row r="522" spans="1:2">
      <c r="A522" t="s">
        <v>436</v>
      </c>
      <c r="B522" s="2" t="s">
        <v>447</v>
      </c>
    </row>
    <row r="523" spans="1:2">
      <c r="A523" t="s">
        <v>437</v>
      </c>
      <c r="B523" s="2" t="s">
        <v>448</v>
      </c>
    </row>
    <row r="524" spans="1:2">
      <c r="A524" t="s">
        <v>438</v>
      </c>
      <c r="B524" s="2" t="s">
        <v>449</v>
      </c>
    </row>
    <row r="525" spans="1:2">
      <c r="A525" t="s">
        <v>439</v>
      </c>
      <c r="B525" s="2" t="s">
        <v>450</v>
      </c>
    </row>
    <row r="526" spans="1:2">
      <c r="A526" t="s">
        <v>440</v>
      </c>
      <c r="B526" s="2" t="s">
        <v>451</v>
      </c>
    </row>
    <row r="527" spans="1:2">
      <c r="A527" t="s">
        <v>441</v>
      </c>
      <c r="B527" s="2" t="s">
        <v>452</v>
      </c>
    </row>
    <row r="528" spans="1:2">
      <c r="A528" t="s">
        <v>442</v>
      </c>
      <c r="B528" s="2" t="s">
        <v>453</v>
      </c>
    </row>
    <row r="529" spans="1:2">
      <c r="A529" t="s">
        <v>443</v>
      </c>
      <c r="B529" s="2" t="s">
        <v>454</v>
      </c>
    </row>
    <row r="530" spans="1:2">
      <c r="A530" t="s">
        <v>444</v>
      </c>
      <c r="B530" s="2" t="s">
        <v>455</v>
      </c>
    </row>
    <row r="531" spans="1:2">
      <c r="B531" s="2" t="s">
        <v>456</v>
      </c>
    </row>
    <row r="532" spans="1:2">
      <c r="B532" s="1"/>
    </row>
    <row r="533" spans="1:2">
      <c r="A533" t="s">
        <v>445</v>
      </c>
      <c r="B533" s="1"/>
    </row>
    <row r="534" spans="1:2">
      <c r="A534" t="s">
        <v>446</v>
      </c>
      <c r="B534" s="2" t="s">
        <v>457</v>
      </c>
    </row>
    <row r="535" spans="1:2">
      <c r="A535" t="s">
        <v>447</v>
      </c>
      <c r="B535" s="2" t="s">
        <v>458</v>
      </c>
    </row>
    <row r="536" spans="1:2">
      <c r="A536" t="s">
        <v>448</v>
      </c>
      <c r="B536" s="2" t="s">
        <v>459</v>
      </c>
    </row>
    <row r="537" spans="1:2">
      <c r="A537" t="s">
        <v>449</v>
      </c>
      <c r="B537" s="2" t="s">
        <v>460</v>
      </c>
    </row>
    <row r="538" spans="1:2">
      <c r="A538" t="s">
        <v>450</v>
      </c>
      <c r="B538" s="2" t="s">
        <v>461</v>
      </c>
    </row>
    <row r="539" spans="1:2">
      <c r="A539" t="s">
        <v>451</v>
      </c>
      <c r="B539" s="2" t="s">
        <v>462</v>
      </c>
    </row>
    <row r="540" spans="1:2">
      <c r="A540" t="s">
        <v>452</v>
      </c>
      <c r="B540" s="2" t="s">
        <v>463</v>
      </c>
    </row>
    <row r="541" spans="1:2">
      <c r="A541" t="s">
        <v>453</v>
      </c>
      <c r="B541" s="2" t="s">
        <v>464</v>
      </c>
    </row>
    <row r="542" spans="1:2">
      <c r="A542" t="s">
        <v>454</v>
      </c>
      <c r="B542" s="2" t="s">
        <v>465</v>
      </c>
    </row>
    <row r="543" spans="1:2">
      <c r="A543" t="s">
        <v>455</v>
      </c>
      <c r="B543" s="2" t="s">
        <v>466</v>
      </c>
    </row>
    <row r="544" spans="1:2">
      <c r="A544" t="s">
        <v>456</v>
      </c>
      <c r="B544" s="2" t="s">
        <v>467</v>
      </c>
    </row>
    <row r="545" spans="1:2">
      <c r="B545" s="2" t="s">
        <v>468</v>
      </c>
    </row>
    <row r="547" spans="1:2">
      <c r="A547" t="s">
        <v>457</v>
      </c>
    </row>
    <row r="548" spans="1:2">
      <c r="A548" t="s">
        <v>458</v>
      </c>
    </row>
    <row r="549" spans="1:2">
      <c r="A549" t="s">
        <v>459</v>
      </c>
    </row>
    <row r="550" spans="1:2">
      <c r="A550" t="s">
        <v>460</v>
      </c>
    </row>
    <row r="551" spans="1:2">
      <c r="A551" t="s">
        <v>461</v>
      </c>
    </row>
    <row r="552" spans="1:2">
      <c r="A552" t="s">
        <v>462</v>
      </c>
    </row>
    <row r="553" spans="1:2">
      <c r="A553" t="s">
        <v>463</v>
      </c>
    </row>
    <row r="554" spans="1:2">
      <c r="A554" t="s">
        <v>464</v>
      </c>
    </row>
    <row r="555" spans="1:2">
      <c r="A555" t="s">
        <v>465</v>
      </c>
    </row>
    <row r="556" spans="1:2">
      <c r="A556" t="s">
        <v>466</v>
      </c>
    </row>
    <row r="557" spans="1:2">
      <c r="A557" t="s">
        <v>467</v>
      </c>
    </row>
    <row r="558" spans="1:2">
      <c r="A558" t="s">
        <v>468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L634"/>
  <sheetViews>
    <sheetView workbookViewId="0">
      <selection activeCell="F1" sqref="F1:L542"/>
    </sheetView>
  </sheetViews>
  <sheetFormatPr defaultRowHeight="15"/>
  <cols>
    <col min="1" max="1" width="65.140625" customWidth="1"/>
    <col min="11" max="11" width="18.5703125" customWidth="1"/>
  </cols>
  <sheetData>
    <row r="1" spans="1:12">
      <c r="A1" t="str">
        <f>IF(Sheet1!A4="","",Sheet1!A4)</f>
        <v>Matchday 1</v>
      </c>
      <c r="F1" t="s">
        <v>469</v>
      </c>
      <c r="G1" t="s">
        <v>470</v>
      </c>
      <c r="H1" t="s">
        <v>471</v>
      </c>
      <c r="I1" t="s">
        <v>473</v>
      </c>
      <c r="J1" t="s">
        <v>472</v>
      </c>
      <c r="K1" t="s">
        <v>475</v>
      </c>
      <c r="L1" t="s">
        <v>474</v>
      </c>
    </row>
    <row r="2" spans="1:12" hidden="1">
      <c r="A2" t="str">
        <f>IF(Sheet1!A5="","",Sheet1!A5)</f>
        <v>[Sat Sep/12]</v>
      </c>
    </row>
    <row r="3" spans="1:12">
      <c r="A3" t="str">
        <f>IF(Sheet1!A6="","",Sheet1!A6)</f>
        <v xml:space="preserve">  Burnley FC               -  Manchester United</v>
      </c>
      <c r="C3">
        <f>IFERROR(FIND("FC",SUBSTITUTE(A3,"Manchester United","Manchester United FC")),"")</f>
        <v>11</v>
      </c>
      <c r="D3">
        <f t="shared" ref="D3:D66" si="0">IFERROR(FIND("-",A3),"")</f>
        <v>28</v>
      </c>
      <c r="E3">
        <f>IFERROR(FIND("FC",SUBSTITUTE(A3,"Manchester United","Manchester United FC"),D3),"")</f>
        <v>49</v>
      </c>
      <c r="F3" t="str">
        <f>IFERROR(IF(VALUE(MID($A3,3,2))&lt;25,MID($A3,3,5),""),"")</f>
        <v/>
      </c>
      <c r="G3" t="str">
        <f>IFERROR(IFERROR(IF(VALUE(MID($A3,3,2))&lt;25,MID($A3,10,C3-8),""),MID(A3,3,C3)),"")</f>
        <v xml:space="preserve">Burnley FC </v>
      </c>
      <c r="H3" t="str">
        <f>IFERROR(MID(A3,D3-1,3),"")</f>
        <v xml:space="preserve"> - </v>
      </c>
      <c r="I3" t="str">
        <f t="shared" ref="I3:I66" si="1">IFERROR(IF(LEFT(H3,1)=" ","",MID(A3,D3+4,3)),"")</f>
        <v/>
      </c>
      <c r="J3" t="str">
        <f>IFERROR(IFERROR(IF(VALUE(MID($A3,3,2))&lt;25,MID($A3,D3+10,E3-8),""),MID(A3,D3+3,E3)),"")</f>
        <v>Manchester United</v>
      </c>
      <c r="K3" t="str">
        <f>IF(C3="","",IF(LEFT(A1,8)="Matchday",A1,K2))</f>
        <v>Matchday 1</v>
      </c>
      <c r="L3" t="str">
        <f>IF(C3="","",IF(LEFT(A2,1)="[",A2,L2))</f>
        <v>[Sat Sep/12]</v>
      </c>
    </row>
    <row r="4" spans="1:12">
      <c r="A4" t="str">
        <f>IF(Sheet1!A7="","",Sheet1!A7)</f>
        <v xml:space="preserve">  Manchester City FC       -  Aston Villa FC</v>
      </c>
      <c r="C4">
        <f t="shared" ref="C4:C67" si="2">IFERROR(FIND("FC",SUBSTITUTE(A4,"Manchester United","Manchester United FC")),"")</f>
        <v>19</v>
      </c>
      <c r="D4">
        <f t="shared" si="0"/>
        <v>28</v>
      </c>
      <c r="E4">
        <f t="shared" ref="E4:E67" si="3">IFERROR(FIND("FC",SUBSTITUTE(A4,"Manchester United","Manchester United FC"),D4),"")</f>
        <v>43</v>
      </c>
      <c r="F4" t="str">
        <f t="shared" ref="F4:F67" si="4">IFERROR(IF(VALUE(MID($A4,3,2))&lt;25,MID($A4,3,5),""),"")</f>
        <v/>
      </c>
      <c r="G4" t="str">
        <f t="shared" ref="G4:G67" si="5">IFERROR(IFERROR(IF(VALUE(MID($A4,3,2))&lt;25,MID($A4,10,C4-8),""),MID(A4,3,C4)),"")</f>
        <v xml:space="preserve">Manchester City FC </v>
      </c>
      <c r="H4" t="str">
        <f t="shared" ref="H4:H67" si="6">IFERROR(MID(A4,D4-1,3),"")</f>
        <v xml:space="preserve"> - </v>
      </c>
      <c r="I4" t="str">
        <f t="shared" si="1"/>
        <v/>
      </c>
      <c r="J4" t="str">
        <f t="shared" ref="J4:J67" si="7">IFERROR(IFERROR(IF(VALUE(MID($A4,3,2))&lt;25,MID($A4,D4+10,E4-8),""),MID(A4,D4+3,E4)),"")</f>
        <v>Aston Villa FC</v>
      </c>
      <c r="K4" t="str">
        <f t="shared" ref="K4:K67" si="8">IF(LEFT(A2,8)="Matchday",A2,K3)</f>
        <v>Matchday 1</v>
      </c>
      <c r="L4" t="str">
        <f t="shared" ref="L4:L67" si="9">IF(C4="","",IF(LEFT(A3,1)="[",A3,L3))</f>
        <v>[Sat Sep/12]</v>
      </c>
    </row>
    <row r="5" spans="1:12">
      <c r="A5" t="str">
        <f>IF(Sheet1!A8="","",Sheet1!A8)</f>
        <v xml:space="preserve">  12.30  Fulham FC                0-3 (0-1)  Arsenal FC</v>
      </c>
      <c r="C5">
        <f t="shared" si="2"/>
        <v>17</v>
      </c>
      <c r="D5">
        <f t="shared" si="0"/>
        <v>36</v>
      </c>
      <c r="E5">
        <f t="shared" si="3"/>
        <v>54</v>
      </c>
      <c r="F5" t="str">
        <f t="shared" si="4"/>
        <v>12.30</v>
      </c>
      <c r="G5" t="str">
        <f t="shared" si="5"/>
        <v>Fulham FC</v>
      </c>
      <c r="H5" t="str">
        <f t="shared" si="6"/>
        <v>0-3</v>
      </c>
      <c r="I5" t="str">
        <f t="shared" si="1"/>
        <v>0-1</v>
      </c>
      <c r="J5" t="str">
        <f t="shared" si="7"/>
        <v>Arsenal FC</v>
      </c>
      <c r="K5" t="str">
        <f t="shared" si="8"/>
        <v>Matchday 1</v>
      </c>
      <c r="L5" t="str">
        <f t="shared" si="9"/>
        <v>[Sat Sep/12]</v>
      </c>
    </row>
    <row r="6" spans="1:12">
      <c r="A6" t="str">
        <f>IF(Sheet1!A9="","",Sheet1!A9)</f>
        <v xml:space="preserve">  15.00  Crystal Palace FC        1-0 (1-0)  Southampton FC</v>
      </c>
      <c r="C6">
        <f t="shared" si="2"/>
        <v>25</v>
      </c>
      <c r="D6">
        <f t="shared" si="0"/>
        <v>36</v>
      </c>
      <c r="E6">
        <f t="shared" si="3"/>
        <v>58</v>
      </c>
      <c r="F6" t="str">
        <f t="shared" si="4"/>
        <v>15.00</v>
      </c>
      <c r="G6" t="str">
        <f t="shared" si="5"/>
        <v>Crystal Palace FC</v>
      </c>
      <c r="H6" t="str">
        <f t="shared" si="6"/>
        <v>1-0</v>
      </c>
      <c r="I6" t="str">
        <f t="shared" si="1"/>
        <v>1-0</v>
      </c>
      <c r="J6" t="str">
        <f t="shared" si="7"/>
        <v>Southampton FC</v>
      </c>
      <c r="K6" t="str">
        <f t="shared" si="8"/>
        <v>Matchday 1</v>
      </c>
      <c r="L6" t="str">
        <f t="shared" si="9"/>
        <v>[Sat Sep/12]</v>
      </c>
    </row>
    <row r="7" spans="1:12">
      <c r="A7" t="str">
        <f>IF(Sheet1!A10="","",Sheet1!A10)</f>
        <v xml:space="preserve">  17.30  Liverpool FC             4-3 (3-2)  Leeds United FC</v>
      </c>
      <c r="C7">
        <f t="shared" si="2"/>
        <v>20</v>
      </c>
      <c r="D7">
        <f t="shared" si="0"/>
        <v>36</v>
      </c>
      <c r="E7">
        <f t="shared" si="3"/>
        <v>59</v>
      </c>
      <c r="F7" t="str">
        <f t="shared" si="4"/>
        <v>17.30</v>
      </c>
      <c r="G7" t="str">
        <f t="shared" si="5"/>
        <v>Liverpool FC</v>
      </c>
      <c r="H7" t="str">
        <f t="shared" si="6"/>
        <v>4-3</v>
      </c>
      <c r="I7" t="str">
        <f t="shared" si="1"/>
        <v>3-2</v>
      </c>
      <c r="J7" t="str">
        <f t="shared" si="7"/>
        <v>Leeds United FC</v>
      </c>
      <c r="K7" t="str">
        <f t="shared" si="8"/>
        <v>Matchday 1</v>
      </c>
      <c r="L7" t="str">
        <f t="shared" si="9"/>
        <v>[Sat Sep/12]</v>
      </c>
    </row>
    <row r="8" spans="1:12">
      <c r="A8" t="str">
        <f>IF(Sheet1!A11="","",Sheet1!A11)</f>
        <v xml:space="preserve">  20.00  West Ham United FC       0-2 (0-0)  Newcastle United FC</v>
      </c>
      <c r="C8">
        <f t="shared" si="2"/>
        <v>26</v>
      </c>
      <c r="D8">
        <f t="shared" si="0"/>
        <v>36</v>
      </c>
      <c r="E8">
        <f t="shared" si="3"/>
        <v>63</v>
      </c>
      <c r="F8" t="str">
        <f t="shared" si="4"/>
        <v>20.00</v>
      </c>
      <c r="G8" t="str">
        <f t="shared" si="5"/>
        <v>West Ham United FC</v>
      </c>
      <c r="H8" t="str">
        <f t="shared" si="6"/>
        <v>0-2</v>
      </c>
      <c r="I8" t="str">
        <f t="shared" si="1"/>
        <v>0-0</v>
      </c>
      <c r="J8" t="str">
        <f t="shared" si="7"/>
        <v>Newcastle United FC</v>
      </c>
      <c r="K8" t="str">
        <f t="shared" si="8"/>
        <v>Matchday 1</v>
      </c>
      <c r="L8" t="str">
        <f t="shared" si="9"/>
        <v>[Sat Sep/12]</v>
      </c>
    </row>
    <row r="9" spans="1:12" hidden="1">
      <c r="A9" t="str">
        <f>IF(Sheet1!A12="","",Sheet1!A12)</f>
        <v>[Sun Sep/13]</v>
      </c>
      <c r="C9" t="str">
        <f t="shared" si="2"/>
        <v/>
      </c>
      <c r="D9" t="str">
        <f t="shared" si="0"/>
        <v/>
      </c>
      <c r="E9" t="str">
        <f t="shared" si="3"/>
        <v/>
      </c>
      <c r="F9" t="str">
        <f t="shared" si="4"/>
        <v/>
      </c>
      <c r="G9" t="str">
        <f t="shared" si="5"/>
        <v/>
      </c>
      <c r="H9" t="str">
        <f t="shared" si="6"/>
        <v/>
      </c>
      <c r="I9" t="str">
        <f t="shared" si="1"/>
        <v/>
      </c>
      <c r="J9" t="str">
        <f t="shared" si="7"/>
        <v/>
      </c>
      <c r="K9" t="str">
        <f t="shared" si="8"/>
        <v>Matchday 1</v>
      </c>
      <c r="L9" t="str">
        <f t="shared" si="9"/>
        <v/>
      </c>
    </row>
    <row r="10" spans="1:12">
      <c r="A10" t="str">
        <f>IF(Sheet1!A13="","",Sheet1!A13)</f>
        <v xml:space="preserve">  14.00  West Bromwich Albion FC  0-3 (0-0)  Leicester City FC</v>
      </c>
      <c r="C10">
        <f t="shared" si="2"/>
        <v>31</v>
      </c>
      <c r="D10">
        <f t="shared" si="0"/>
        <v>36</v>
      </c>
      <c r="E10">
        <f t="shared" si="3"/>
        <v>61</v>
      </c>
      <c r="F10" t="str">
        <f t="shared" si="4"/>
        <v>14.00</v>
      </c>
      <c r="G10" t="str">
        <f t="shared" si="5"/>
        <v>West Bromwich Albion FC</v>
      </c>
      <c r="H10" t="str">
        <f t="shared" si="6"/>
        <v>0-3</v>
      </c>
      <c r="I10" t="str">
        <f t="shared" si="1"/>
        <v>0-0</v>
      </c>
      <c r="J10" t="str">
        <f t="shared" si="7"/>
        <v>Leicester City FC</v>
      </c>
      <c r="K10" t="str">
        <f t="shared" si="8"/>
        <v>Matchday 1</v>
      </c>
      <c r="L10" t="str">
        <f t="shared" si="9"/>
        <v>[Sun Sep/13]</v>
      </c>
    </row>
    <row r="11" spans="1:12">
      <c r="A11" t="str">
        <f>IF(Sheet1!A14="","",Sheet1!A14)</f>
        <v xml:space="preserve">  16.30  Tottenham Hotspur FC     0-1 (0-0)  Everton FC</v>
      </c>
      <c r="C11">
        <f t="shared" si="2"/>
        <v>28</v>
      </c>
      <c r="D11">
        <f t="shared" si="0"/>
        <v>36</v>
      </c>
      <c r="E11">
        <f t="shared" si="3"/>
        <v>54</v>
      </c>
      <c r="F11" t="str">
        <f t="shared" si="4"/>
        <v>16.30</v>
      </c>
      <c r="G11" t="str">
        <f t="shared" si="5"/>
        <v>Tottenham Hotspur FC</v>
      </c>
      <c r="H11" t="str">
        <f t="shared" si="6"/>
        <v>0-1</v>
      </c>
      <c r="I11" t="str">
        <f t="shared" si="1"/>
        <v>0-0</v>
      </c>
      <c r="J11" t="str">
        <f t="shared" si="7"/>
        <v>Everton FC</v>
      </c>
      <c r="K11" t="str">
        <f t="shared" si="8"/>
        <v>Matchday 1</v>
      </c>
      <c r="L11" t="str">
        <f t="shared" si="9"/>
        <v>[Sun Sep/13]</v>
      </c>
    </row>
    <row r="12" spans="1:12" hidden="1">
      <c r="A12" t="str">
        <f>IF(Sheet1!A15="","",Sheet1!A15)</f>
        <v>[Mon Sep/14]</v>
      </c>
      <c r="C12" t="str">
        <f t="shared" si="2"/>
        <v/>
      </c>
      <c r="D12" t="str">
        <f t="shared" si="0"/>
        <v/>
      </c>
      <c r="E12" t="str">
        <f t="shared" si="3"/>
        <v/>
      </c>
      <c r="F12" t="str">
        <f t="shared" si="4"/>
        <v/>
      </c>
      <c r="G12" t="str">
        <f t="shared" si="5"/>
        <v/>
      </c>
      <c r="H12" t="str">
        <f t="shared" si="6"/>
        <v/>
      </c>
      <c r="I12" t="str">
        <f t="shared" si="1"/>
        <v/>
      </c>
      <c r="J12" t="str">
        <f t="shared" si="7"/>
        <v/>
      </c>
      <c r="K12" t="str">
        <f t="shared" si="8"/>
        <v>Matchday 1</v>
      </c>
      <c r="L12" t="str">
        <f t="shared" si="9"/>
        <v/>
      </c>
    </row>
    <row r="13" spans="1:12">
      <c r="A13" t="str">
        <f>IF(Sheet1!A16="","",Sheet1!A16)</f>
        <v xml:space="preserve">  18.00  Sheffield United FC      0-2 (0-2)  Wolverhampton Wanderers FC</v>
      </c>
      <c r="C13">
        <f t="shared" si="2"/>
        <v>27</v>
      </c>
      <c r="D13">
        <f t="shared" si="0"/>
        <v>36</v>
      </c>
      <c r="E13">
        <f t="shared" si="3"/>
        <v>70</v>
      </c>
      <c r="F13" t="str">
        <f t="shared" si="4"/>
        <v>18.00</v>
      </c>
      <c r="G13" t="str">
        <f t="shared" si="5"/>
        <v>Sheffield United FC</v>
      </c>
      <c r="H13" t="str">
        <f t="shared" si="6"/>
        <v>0-2</v>
      </c>
      <c r="I13" t="str">
        <f t="shared" si="1"/>
        <v>0-2</v>
      </c>
      <c r="J13" t="str">
        <f t="shared" si="7"/>
        <v>Wolverhampton Wanderers FC</v>
      </c>
      <c r="K13" t="str">
        <f t="shared" si="8"/>
        <v>Matchday 1</v>
      </c>
      <c r="L13" t="str">
        <f t="shared" si="9"/>
        <v>[Mon Sep/14]</v>
      </c>
    </row>
    <row r="14" spans="1:12">
      <c r="A14" t="str">
        <f>IF(Sheet1!A17="","",Sheet1!A17)</f>
        <v xml:space="preserve">  20.15  Brighton &amp; Hove Albion FC  1-3 (0-1)  Chelsea FC</v>
      </c>
      <c r="C14">
        <f t="shared" si="2"/>
        <v>33</v>
      </c>
      <c r="D14">
        <f t="shared" si="0"/>
        <v>38</v>
      </c>
      <c r="E14">
        <f t="shared" si="3"/>
        <v>56</v>
      </c>
      <c r="F14" t="str">
        <f t="shared" si="4"/>
        <v>20.15</v>
      </c>
      <c r="G14" t="str">
        <f t="shared" si="5"/>
        <v>Brighton &amp; Hove Albion FC</v>
      </c>
      <c r="H14" t="str">
        <f t="shared" si="6"/>
        <v>1-3</v>
      </c>
      <c r="I14" t="str">
        <f t="shared" si="1"/>
        <v>0-1</v>
      </c>
      <c r="J14" t="str">
        <f t="shared" si="7"/>
        <v>Chelsea FC</v>
      </c>
      <c r="K14" t="str">
        <f t="shared" si="8"/>
        <v>Matchday 1</v>
      </c>
      <c r="L14" t="str">
        <f t="shared" si="9"/>
        <v>[Mon Sep/14]</v>
      </c>
    </row>
    <row r="15" spans="1:12" hidden="1">
      <c r="A15" t="str">
        <f>IF(Sheet1!A18="","",Sheet1!A18)</f>
        <v/>
      </c>
      <c r="C15" t="str">
        <f t="shared" si="2"/>
        <v/>
      </c>
      <c r="D15" t="str">
        <f t="shared" si="0"/>
        <v/>
      </c>
      <c r="E15" t="str">
        <f t="shared" si="3"/>
        <v/>
      </c>
      <c r="F15" t="str">
        <f t="shared" si="4"/>
        <v/>
      </c>
      <c r="G15" t="str">
        <f t="shared" si="5"/>
        <v/>
      </c>
      <c r="H15" t="str">
        <f t="shared" si="6"/>
        <v/>
      </c>
      <c r="I15" t="str">
        <f t="shared" si="1"/>
        <v/>
      </c>
      <c r="J15" t="str">
        <f t="shared" si="7"/>
        <v/>
      </c>
      <c r="K15" t="str">
        <f t="shared" si="8"/>
        <v>Matchday 1</v>
      </c>
      <c r="L15" t="str">
        <f t="shared" si="9"/>
        <v/>
      </c>
    </row>
    <row r="16" spans="1:12" hidden="1">
      <c r="A16" t="str">
        <f>IF(Sheet1!A19="","",Sheet1!A19)</f>
        <v/>
      </c>
      <c r="C16" t="str">
        <f t="shared" si="2"/>
        <v/>
      </c>
      <c r="D16" t="str">
        <f t="shared" si="0"/>
        <v/>
      </c>
      <c r="E16" t="str">
        <f t="shared" si="3"/>
        <v/>
      </c>
      <c r="F16" t="str">
        <f t="shared" si="4"/>
        <v/>
      </c>
      <c r="G16" t="str">
        <f t="shared" si="5"/>
        <v/>
      </c>
      <c r="H16" t="str">
        <f t="shared" si="6"/>
        <v/>
      </c>
      <c r="I16" t="str">
        <f t="shared" si="1"/>
        <v/>
      </c>
      <c r="J16" t="str">
        <f t="shared" si="7"/>
        <v/>
      </c>
      <c r="K16" t="str">
        <f t="shared" si="8"/>
        <v>Matchday 1</v>
      </c>
      <c r="L16" t="str">
        <f t="shared" si="9"/>
        <v/>
      </c>
    </row>
    <row r="17" spans="1:12" hidden="1">
      <c r="A17" t="str">
        <f>IF(Sheet1!A20="","",Sheet1!A20)</f>
        <v>Matchday 2</v>
      </c>
      <c r="C17" t="str">
        <f t="shared" si="2"/>
        <v/>
      </c>
      <c r="D17" t="str">
        <f t="shared" si="0"/>
        <v/>
      </c>
      <c r="E17" t="str">
        <f t="shared" si="3"/>
        <v/>
      </c>
      <c r="F17" t="str">
        <f t="shared" si="4"/>
        <v/>
      </c>
      <c r="G17" t="str">
        <f t="shared" si="5"/>
        <v/>
      </c>
      <c r="H17" t="str">
        <f t="shared" si="6"/>
        <v/>
      </c>
      <c r="I17" t="str">
        <f t="shared" si="1"/>
        <v/>
      </c>
      <c r="J17" t="str">
        <f t="shared" si="7"/>
        <v/>
      </c>
      <c r="K17" t="str">
        <f t="shared" si="8"/>
        <v>Matchday 1</v>
      </c>
      <c r="L17" t="str">
        <f t="shared" si="9"/>
        <v/>
      </c>
    </row>
    <row r="18" spans="1:12" hidden="1">
      <c r="A18" t="str">
        <f>IF(Sheet1!A21="","",Sheet1!A21)</f>
        <v>[Sat Sep/19]</v>
      </c>
      <c r="C18" t="str">
        <f t="shared" si="2"/>
        <v/>
      </c>
      <c r="D18" t="str">
        <f t="shared" si="0"/>
        <v/>
      </c>
      <c r="E18" t="str">
        <f t="shared" si="3"/>
        <v/>
      </c>
      <c r="F18" t="str">
        <f t="shared" si="4"/>
        <v/>
      </c>
      <c r="G18" t="str">
        <f t="shared" si="5"/>
        <v/>
      </c>
      <c r="H18" t="str">
        <f t="shared" si="6"/>
        <v/>
      </c>
      <c r="I18" t="str">
        <f t="shared" si="1"/>
        <v/>
      </c>
      <c r="J18" t="str">
        <f t="shared" si="7"/>
        <v/>
      </c>
      <c r="K18" t="str">
        <f t="shared" si="8"/>
        <v>Matchday 1</v>
      </c>
      <c r="L18" t="str">
        <f t="shared" si="9"/>
        <v/>
      </c>
    </row>
    <row r="19" spans="1:12">
      <c r="A19" t="str">
        <f>IF(Sheet1!A22="","",Sheet1!A22)</f>
        <v xml:space="preserve">  12.30  Everton FC               5-2 (2-1)  West Bromwich Albion FC</v>
      </c>
      <c r="C19">
        <f t="shared" si="2"/>
        <v>18</v>
      </c>
      <c r="D19">
        <f t="shared" si="0"/>
        <v>36</v>
      </c>
      <c r="E19">
        <f t="shared" si="3"/>
        <v>67</v>
      </c>
      <c r="F19" t="str">
        <f t="shared" si="4"/>
        <v>12.30</v>
      </c>
      <c r="G19" t="str">
        <f t="shared" si="5"/>
        <v>Everton FC</v>
      </c>
      <c r="H19" t="str">
        <f t="shared" si="6"/>
        <v>5-2</v>
      </c>
      <c r="I19" t="str">
        <f t="shared" si="1"/>
        <v>2-1</v>
      </c>
      <c r="J19" t="str">
        <f t="shared" si="7"/>
        <v>West Bromwich Albion FC</v>
      </c>
      <c r="K19" t="str">
        <f t="shared" si="8"/>
        <v>Matchday 2</v>
      </c>
      <c r="L19" t="str">
        <f t="shared" si="9"/>
        <v>[Sat Sep/19]</v>
      </c>
    </row>
    <row r="20" spans="1:12">
      <c r="A20" t="str">
        <f>IF(Sheet1!A23="","",Sheet1!A23)</f>
        <v xml:space="preserve">  15.00  Leeds United FC          4-3 (2-1)  Fulham FC</v>
      </c>
      <c r="C20">
        <f t="shared" si="2"/>
        <v>23</v>
      </c>
      <c r="D20">
        <f t="shared" si="0"/>
        <v>36</v>
      </c>
      <c r="E20">
        <f t="shared" si="3"/>
        <v>53</v>
      </c>
      <c r="F20" t="str">
        <f t="shared" si="4"/>
        <v>15.00</v>
      </c>
      <c r="G20" t="str">
        <f t="shared" si="5"/>
        <v>Leeds United FC</v>
      </c>
      <c r="H20" t="str">
        <f t="shared" si="6"/>
        <v>4-3</v>
      </c>
      <c r="I20" t="str">
        <f t="shared" si="1"/>
        <v>2-1</v>
      </c>
      <c r="J20" t="str">
        <f t="shared" si="7"/>
        <v>Fulham FC</v>
      </c>
      <c r="K20" t="str">
        <f t="shared" si="8"/>
        <v>Matchday 2</v>
      </c>
      <c r="L20" t="str">
        <f t="shared" si="9"/>
        <v>[Sat Sep/19]</v>
      </c>
    </row>
    <row r="21" spans="1:12">
      <c r="A21" t="str">
        <f>IF(Sheet1!A24="","",Sheet1!A24)</f>
        <v xml:space="preserve">  17.30  Manchester United        1-3 (0-1)  Crystal Palace FC</v>
      </c>
      <c r="C21">
        <f t="shared" si="2"/>
        <v>28</v>
      </c>
      <c r="D21">
        <f t="shared" si="0"/>
        <v>36</v>
      </c>
      <c r="E21">
        <f t="shared" si="3"/>
        <v>64</v>
      </c>
      <c r="F21" t="str">
        <f t="shared" si="4"/>
        <v>17.30</v>
      </c>
      <c r="G21" t="str">
        <f t="shared" si="5"/>
        <v xml:space="preserve">Manchester United   </v>
      </c>
      <c r="H21" t="str">
        <f t="shared" si="6"/>
        <v>1-3</v>
      </c>
      <c r="I21" t="str">
        <f t="shared" si="1"/>
        <v>0-1</v>
      </c>
      <c r="J21" t="str">
        <f t="shared" si="7"/>
        <v>Crystal Palace FC</v>
      </c>
      <c r="K21" t="str">
        <f t="shared" si="8"/>
        <v>Matchday 2</v>
      </c>
      <c r="L21" t="str">
        <f t="shared" si="9"/>
        <v>[Sat Sep/19]</v>
      </c>
    </row>
    <row r="22" spans="1:12">
      <c r="A22" t="str">
        <f>IF(Sheet1!A25="","",Sheet1!A25)</f>
        <v xml:space="preserve">  20.00  Arsenal FC               2-1 (1-1)  West Ham United FC</v>
      </c>
      <c r="C22">
        <f t="shared" si="2"/>
        <v>18</v>
      </c>
      <c r="D22">
        <f t="shared" si="0"/>
        <v>36</v>
      </c>
      <c r="E22">
        <f t="shared" si="3"/>
        <v>62</v>
      </c>
      <c r="F22" t="str">
        <f t="shared" si="4"/>
        <v>20.00</v>
      </c>
      <c r="G22" t="str">
        <f t="shared" si="5"/>
        <v>Arsenal FC</v>
      </c>
      <c r="H22" t="str">
        <f t="shared" si="6"/>
        <v>2-1</v>
      </c>
      <c r="I22" t="str">
        <f t="shared" si="1"/>
        <v>1-1</v>
      </c>
      <c r="J22" t="str">
        <f t="shared" si="7"/>
        <v>West Ham United FC</v>
      </c>
      <c r="K22" t="str">
        <f t="shared" si="8"/>
        <v>Matchday 2</v>
      </c>
      <c r="L22" t="str">
        <f t="shared" si="9"/>
        <v>[Sat Sep/19]</v>
      </c>
    </row>
    <row r="23" spans="1:12" hidden="1">
      <c r="A23" t="str">
        <f>IF(Sheet1!A26="","",Sheet1!A26)</f>
        <v>[Sun Sep/20]</v>
      </c>
      <c r="C23" t="str">
        <f t="shared" si="2"/>
        <v/>
      </c>
      <c r="D23" t="str">
        <f t="shared" si="0"/>
        <v/>
      </c>
      <c r="E23" t="str">
        <f t="shared" si="3"/>
        <v/>
      </c>
      <c r="F23" t="str">
        <f t="shared" si="4"/>
        <v/>
      </c>
      <c r="G23" t="str">
        <f t="shared" si="5"/>
        <v/>
      </c>
      <c r="H23" t="str">
        <f t="shared" si="6"/>
        <v/>
      </c>
      <c r="I23" t="str">
        <f t="shared" si="1"/>
        <v/>
      </c>
      <c r="J23" t="str">
        <f t="shared" si="7"/>
        <v/>
      </c>
      <c r="K23" t="str">
        <f t="shared" si="8"/>
        <v>Matchday 2</v>
      </c>
      <c r="L23" t="str">
        <f t="shared" si="9"/>
        <v/>
      </c>
    </row>
    <row r="24" spans="1:12">
      <c r="A24" t="str">
        <f>IF(Sheet1!A27="","",Sheet1!A27)</f>
        <v xml:space="preserve">  12.00  Southampton FC           2-5 (1-1)  Tottenham Hotspur FC</v>
      </c>
      <c r="C24">
        <f t="shared" si="2"/>
        <v>22</v>
      </c>
      <c r="D24">
        <f t="shared" si="0"/>
        <v>36</v>
      </c>
      <c r="E24">
        <f t="shared" si="3"/>
        <v>64</v>
      </c>
      <c r="F24" t="str">
        <f t="shared" si="4"/>
        <v>12.00</v>
      </c>
      <c r="G24" t="str">
        <f t="shared" si="5"/>
        <v>Southampton FC</v>
      </c>
      <c r="H24" t="str">
        <f t="shared" si="6"/>
        <v>2-5</v>
      </c>
      <c r="I24" t="str">
        <f t="shared" si="1"/>
        <v>1-1</v>
      </c>
      <c r="J24" t="str">
        <f t="shared" si="7"/>
        <v>Tottenham Hotspur FC</v>
      </c>
      <c r="K24" t="str">
        <f t="shared" si="8"/>
        <v>Matchday 2</v>
      </c>
      <c r="L24" t="str">
        <f t="shared" si="9"/>
        <v>[Sun Sep/20]</v>
      </c>
    </row>
    <row r="25" spans="1:12">
      <c r="A25" t="str">
        <f>IF(Sheet1!A28="","",Sheet1!A28)</f>
        <v xml:space="preserve">  14.00  Newcastle United FC      0-3 (0-2)  Brighton &amp; Hove Albion FC</v>
      </c>
      <c r="C25">
        <f t="shared" si="2"/>
        <v>27</v>
      </c>
      <c r="D25">
        <f t="shared" si="0"/>
        <v>36</v>
      </c>
      <c r="E25">
        <f t="shared" si="3"/>
        <v>69</v>
      </c>
      <c r="F25" t="str">
        <f t="shared" si="4"/>
        <v>14.00</v>
      </c>
      <c r="G25" t="str">
        <f t="shared" si="5"/>
        <v>Newcastle United FC</v>
      </c>
      <c r="H25" t="str">
        <f t="shared" si="6"/>
        <v>0-3</v>
      </c>
      <c r="I25" t="str">
        <f t="shared" si="1"/>
        <v>0-2</v>
      </c>
      <c r="J25" t="str">
        <f t="shared" si="7"/>
        <v>Brighton &amp; Hove Albion FC</v>
      </c>
      <c r="K25" t="str">
        <f t="shared" si="8"/>
        <v>Matchday 2</v>
      </c>
      <c r="L25" t="str">
        <f t="shared" si="9"/>
        <v>[Sun Sep/20]</v>
      </c>
    </row>
    <row r="26" spans="1:12">
      <c r="A26" t="str">
        <f>IF(Sheet1!A29="","",Sheet1!A29)</f>
        <v xml:space="preserve">  16.30  Chelsea FC               0-2 (0-0)  Liverpool FC</v>
      </c>
      <c r="C26">
        <f t="shared" si="2"/>
        <v>18</v>
      </c>
      <c r="D26">
        <f t="shared" si="0"/>
        <v>36</v>
      </c>
      <c r="E26">
        <f t="shared" si="3"/>
        <v>56</v>
      </c>
      <c r="F26" t="str">
        <f t="shared" si="4"/>
        <v>16.30</v>
      </c>
      <c r="G26" t="str">
        <f t="shared" si="5"/>
        <v>Chelsea FC</v>
      </c>
      <c r="H26" t="str">
        <f t="shared" si="6"/>
        <v>0-2</v>
      </c>
      <c r="I26" t="str">
        <f t="shared" si="1"/>
        <v>0-0</v>
      </c>
      <c r="J26" t="str">
        <f t="shared" si="7"/>
        <v>Liverpool FC</v>
      </c>
      <c r="K26" t="str">
        <f t="shared" si="8"/>
        <v>Matchday 2</v>
      </c>
      <c r="L26" t="str">
        <f t="shared" si="9"/>
        <v>[Sun Sep/20]</v>
      </c>
    </row>
    <row r="27" spans="1:12">
      <c r="A27" t="str">
        <f>IF(Sheet1!A30="","",Sheet1!A30)</f>
        <v xml:space="preserve">  19.00  Leicester City FC        4-2 (1-1)  Burnley FC</v>
      </c>
      <c r="C27">
        <f t="shared" si="2"/>
        <v>25</v>
      </c>
      <c r="D27">
        <f t="shared" si="0"/>
        <v>36</v>
      </c>
      <c r="E27">
        <f t="shared" si="3"/>
        <v>54</v>
      </c>
      <c r="F27" t="str">
        <f t="shared" si="4"/>
        <v>19.00</v>
      </c>
      <c r="G27" t="str">
        <f t="shared" si="5"/>
        <v>Leicester City FC</v>
      </c>
      <c r="H27" t="str">
        <f t="shared" si="6"/>
        <v>4-2</v>
      </c>
      <c r="I27" t="str">
        <f t="shared" si="1"/>
        <v>1-1</v>
      </c>
      <c r="J27" t="str">
        <f t="shared" si="7"/>
        <v>Burnley FC</v>
      </c>
      <c r="K27" t="str">
        <f t="shared" si="8"/>
        <v>Matchday 2</v>
      </c>
      <c r="L27" t="str">
        <f t="shared" si="9"/>
        <v>[Sun Sep/20]</v>
      </c>
    </row>
    <row r="28" spans="1:12" hidden="1">
      <c r="A28" t="str">
        <f>IF(Sheet1!A31="","",Sheet1!A31)</f>
        <v>[Mon Sep/21]</v>
      </c>
      <c r="C28" t="str">
        <f t="shared" si="2"/>
        <v/>
      </c>
      <c r="D28" t="str">
        <f t="shared" si="0"/>
        <v/>
      </c>
      <c r="E28" t="str">
        <f t="shared" si="3"/>
        <v/>
      </c>
      <c r="F28" t="str">
        <f t="shared" si="4"/>
        <v/>
      </c>
      <c r="G28" t="str">
        <f t="shared" si="5"/>
        <v/>
      </c>
      <c r="H28" t="str">
        <f t="shared" si="6"/>
        <v/>
      </c>
      <c r="I28" t="str">
        <f t="shared" si="1"/>
        <v/>
      </c>
      <c r="J28" t="str">
        <f t="shared" si="7"/>
        <v/>
      </c>
      <c r="K28" t="str">
        <f t="shared" si="8"/>
        <v>Matchday 2</v>
      </c>
      <c r="L28" t="str">
        <f t="shared" si="9"/>
        <v/>
      </c>
    </row>
    <row r="29" spans="1:12">
      <c r="A29" t="str">
        <f>IF(Sheet1!A32="","",Sheet1!A32)</f>
        <v xml:space="preserve">  18.00  Aston Villa FC           1-0 (0-0)  Sheffield United FC</v>
      </c>
      <c r="C29">
        <f t="shared" si="2"/>
        <v>22</v>
      </c>
      <c r="D29">
        <f t="shared" si="0"/>
        <v>36</v>
      </c>
      <c r="E29">
        <f t="shared" si="3"/>
        <v>63</v>
      </c>
      <c r="F29" t="str">
        <f t="shared" si="4"/>
        <v>18.00</v>
      </c>
      <c r="G29" t="str">
        <f t="shared" si="5"/>
        <v>Aston Villa FC</v>
      </c>
      <c r="H29" t="str">
        <f t="shared" si="6"/>
        <v>1-0</v>
      </c>
      <c r="I29" t="str">
        <f t="shared" si="1"/>
        <v>0-0</v>
      </c>
      <c r="J29" t="str">
        <f t="shared" si="7"/>
        <v>Sheffield United FC</v>
      </c>
      <c r="K29" t="str">
        <f t="shared" si="8"/>
        <v>Matchday 2</v>
      </c>
      <c r="L29" t="str">
        <f t="shared" si="9"/>
        <v>[Mon Sep/21]</v>
      </c>
    </row>
    <row r="30" spans="1:12">
      <c r="A30" t="str">
        <f>IF(Sheet1!A33="","",Sheet1!A33)</f>
        <v xml:space="preserve">  20.15  Wolverhampton Wanderers FC  1-3 (0-2)  Manchester City FC</v>
      </c>
      <c r="C30">
        <f t="shared" si="2"/>
        <v>34</v>
      </c>
      <c r="D30">
        <f t="shared" si="0"/>
        <v>39</v>
      </c>
      <c r="E30">
        <f t="shared" si="3"/>
        <v>65</v>
      </c>
      <c r="F30" t="str">
        <f t="shared" si="4"/>
        <v>20.15</v>
      </c>
      <c r="G30" t="str">
        <f t="shared" si="5"/>
        <v>Wolverhampton Wanderers FC</v>
      </c>
      <c r="H30" t="str">
        <f t="shared" si="6"/>
        <v>1-3</v>
      </c>
      <c r="I30" t="str">
        <f t="shared" si="1"/>
        <v>0-2</v>
      </c>
      <c r="J30" t="str">
        <f t="shared" si="7"/>
        <v>Manchester City FC</v>
      </c>
      <c r="K30" t="str">
        <f t="shared" si="8"/>
        <v>Matchday 2</v>
      </c>
      <c r="L30" t="str">
        <f t="shared" si="9"/>
        <v>[Mon Sep/21]</v>
      </c>
    </row>
    <row r="31" spans="1:12" hidden="1">
      <c r="A31" t="str">
        <f>IF(Sheet1!A34="","",Sheet1!A34)</f>
        <v/>
      </c>
      <c r="C31" t="str">
        <f t="shared" si="2"/>
        <v/>
      </c>
      <c r="D31" t="str">
        <f t="shared" si="0"/>
        <v/>
      </c>
      <c r="E31" t="str">
        <f t="shared" si="3"/>
        <v/>
      </c>
      <c r="F31" t="str">
        <f t="shared" si="4"/>
        <v/>
      </c>
      <c r="G31" t="str">
        <f t="shared" si="5"/>
        <v/>
      </c>
      <c r="H31" t="str">
        <f t="shared" si="6"/>
        <v/>
      </c>
      <c r="I31" t="str">
        <f t="shared" si="1"/>
        <v/>
      </c>
      <c r="J31" t="str">
        <f t="shared" si="7"/>
        <v/>
      </c>
      <c r="K31" t="str">
        <f t="shared" si="8"/>
        <v>Matchday 2</v>
      </c>
      <c r="L31" t="str">
        <f t="shared" si="9"/>
        <v/>
      </c>
    </row>
    <row r="32" spans="1:12" hidden="1">
      <c r="A32" t="str">
        <f>IF(Sheet1!A35="","",Sheet1!A35)</f>
        <v/>
      </c>
      <c r="C32" t="str">
        <f t="shared" si="2"/>
        <v/>
      </c>
      <c r="D32" t="str">
        <f t="shared" si="0"/>
        <v/>
      </c>
      <c r="E32" t="str">
        <f t="shared" si="3"/>
        <v/>
      </c>
      <c r="F32" t="str">
        <f t="shared" si="4"/>
        <v/>
      </c>
      <c r="G32" t="str">
        <f t="shared" si="5"/>
        <v/>
      </c>
      <c r="H32" t="str">
        <f t="shared" si="6"/>
        <v/>
      </c>
      <c r="I32" t="str">
        <f t="shared" si="1"/>
        <v/>
      </c>
      <c r="J32" t="str">
        <f t="shared" si="7"/>
        <v/>
      </c>
      <c r="K32" t="str">
        <f t="shared" si="8"/>
        <v>Matchday 2</v>
      </c>
      <c r="L32" t="str">
        <f t="shared" si="9"/>
        <v/>
      </c>
    </row>
    <row r="33" spans="1:12" hidden="1">
      <c r="A33" t="str">
        <f>IF(Sheet1!A36="","",Sheet1!A36)</f>
        <v>Matchday 3</v>
      </c>
      <c r="C33" t="str">
        <f t="shared" si="2"/>
        <v/>
      </c>
      <c r="D33" t="str">
        <f t="shared" si="0"/>
        <v/>
      </c>
      <c r="E33" t="str">
        <f t="shared" si="3"/>
        <v/>
      </c>
      <c r="F33" t="str">
        <f t="shared" si="4"/>
        <v/>
      </c>
      <c r="G33" t="str">
        <f t="shared" si="5"/>
        <v/>
      </c>
      <c r="H33" t="str">
        <f t="shared" si="6"/>
        <v/>
      </c>
      <c r="I33" t="str">
        <f t="shared" si="1"/>
        <v/>
      </c>
      <c r="J33" t="str">
        <f t="shared" si="7"/>
        <v/>
      </c>
      <c r="K33" t="str">
        <f t="shared" si="8"/>
        <v>Matchday 2</v>
      </c>
      <c r="L33" t="str">
        <f t="shared" si="9"/>
        <v/>
      </c>
    </row>
    <row r="34" spans="1:12" hidden="1">
      <c r="A34" t="str">
        <f>IF(Sheet1!A37="","",Sheet1!A37)</f>
        <v>[Sat Sep/26]</v>
      </c>
      <c r="C34" t="str">
        <f t="shared" si="2"/>
        <v/>
      </c>
      <c r="D34" t="str">
        <f t="shared" si="0"/>
        <v/>
      </c>
      <c r="E34" t="str">
        <f t="shared" si="3"/>
        <v/>
      </c>
      <c r="F34" t="str">
        <f t="shared" si="4"/>
        <v/>
      </c>
      <c r="G34" t="str">
        <f t="shared" si="5"/>
        <v/>
      </c>
      <c r="H34" t="str">
        <f t="shared" si="6"/>
        <v/>
      </c>
      <c r="I34" t="str">
        <f t="shared" si="1"/>
        <v/>
      </c>
      <c r="J34" t="str">
        <f t="shared" si="7"/>
        <v/>
      </c>
      <c r="K34" t="str">
        <f t="shared" si="8"/>
        <v>Matchday 2</v>
      </c>
      <c r="L34" t="str">
        <f t="shared" si="9"/>
        <v/>
      </c>
    </row>
    <row r="35" spans="1:12">
      <c r="A35" t="str">
        <f>IF(Sheet1!A38="","",Sheet1!A38)</f>
        <v xml:space="preserve">  12.30  Brighton &amp; Hove Albion FC  2-3 (1-1)  Manchester United</v>
      </c>
      <c r="C35">
        <f t="shared" si="2"/>
        <v>33</v>
      </c>
      <c r="D35">
        <f t="shared" si="0"/>
        <v>38</v>
      </c>
      <c r="E35">
        <f t="shared" si="3"/>
        <v>66</v>
      </c>
      <c r="F35" t="str">
        <f t="shared" si="4"/>
        <v>12.30</v>
      </c>
      <c r="G35" t="str">
        <f t="shared" si="5"/>
        <v>Brighton &amp; Hove Albion FC</v>
      </c>
      <c r="H35" t="str">
        <f t="shared" si="6"/>
        <v>2-3</v>
      </c>
      <c r="I35" t="str">
        <f t="shared" si="1"/>
        <v>1-1</v>
      </c>
      <c r="J35" t="str">
        <f t="shared" si="7"/>
        <v>Manchester United</v>
      </c>
      <c r="K35" t="str">
        <f t="shared" si="8"/>
        <v>Matchday 3</v>
      </c>
      <c r="L35" t="str">
        <f t="shared" si="9"/>
        <v>[Sat Sep/26]</v>
      </c>
    </row>
    <row r="36" spans="1:12">
      <c r="A36" t="str">
        <f>IF(Sheet1!A39="","",Sheet1!A39)</f>
        <v xml:space="preserve">  15.00  Crystal Palace FC        1-2 (1-2)  Everton FC</v>
      </c>
      <c r="C36">
        <f t="shared" si="2"/>
        <v>25</v>
      </c>
      <c r="D36">
        <f t="shared" si="0"/>
        <v>36</v>
      </c>
      <c r="E36">
        <f t="shared" si="3"/>
        <v>54</v>
      </c>
      <c r="F36" t="str">
        <f t="shared" si="4"/>
        <v>15.00</v>
      </c>
      <c r="G36" t="str">
        <f t="shared" si="5"/>
        <v>Crystal Palace FC</v>
      </c>
      <c r="H36" t="str">
        <f t="shared" si="6"/>
        <v>1-2</v>
      </c>
      <c r="I36" t="str">
        <f t="shared" si="1"/>
        <v>1-2</v>
      </c>
      <c r="J36" t="str">
        <f t="shared" si="7"/>
        <v>Everton FC</v>
      </c>
      <c r="K36" t="str">
        <f t="shared" si="8"/>
        <v>Matchday 3</v>
      </c>
      <c r="L36" t="str">
        <f t="shared" si="9"/>
        <v>[Sat Sep/26]</v>
      </c>
    </row>
    <row r="37" spans="1:12">
      <c r="A37" t="str">
        <f>IF(Sheet1!A40="","",Sheet1!A40)</f>
        <v xml:space="preserve">  17.30  West Bromwich Albion FC  3-3 (3-0)  Chelsea FC</v>
      </c>
      <c r="C37">
        <f t="shared" si="2"/>
        <v>31</v>
      </c>
      <c r="D37">
        <f t="shared" si="0"/>
        <v>36</v>
      </c>
      <c r="E37">
        <f t="shared" si="3"/>
        <v>54</v>
      </c>
      <c r="F37" t="str">
        <f t="shared" si="4"/>
        <v>17.30</v>
      </c>
      <c r="G37" t="str">
        <f t="shared" si="5"/>
        <v>West Bromwich Albion FC</v>
      </c>
      <c r="H37" t="str">
        <f t="shared" si="6"/>
        <v>3-3</v>
      </c>
      <c r="I37" t="str">
        <f t="shared" si="1"/>
        <v>3-0</v>
      </c>
      <c r="J37" t="str">
        <f t="shared" si="7"/>
        <v>Chelsea FC</v>
      </c>
      <c r="K37" t="str">
        <f t="shared" si="8"/>
        <v>Matchday 3</v>
      </c>
      <c r="L37" t="str">
        <f t="shared" si="9"/>
        <v>[Sat Sep/26]</v>
      </c>
    </row>
    <row r="38" spans="1:12">
      <c r="A38" t="str">
        <f>IF(Sheet1!A41="","",Sheet1!A41)</f>
        <v xml:space="preserve">  20.00  Burnley FC               0-1 (0-1)  Southampton FC</v>
      </c>
      <c r="C38">
        <f t="shared" si="2"/>
        <v>18</v>
      </c>
      <c r="D38">
        <f t="shared" si="0"/>
        <v>36</v>
      </c>
      <c r="E38">
        <f t="shared" si="3"/>
        <v>58</v>
      </c>
      <c r="F38" t="str">
        <f t="shared" si="4"/>
        <v>20.00</v>
      </c>
      <c r="G38" t="str">
        <f t="shared" si="5"/>
        <v>Burnley FC</v>
      </c>
      <c r="H38" t="str">
        <f t="shared" si="6"/>
        <v>0-1</v>
      </c>
      <c r="I38" t="str">
        <f t="shared" si="1"/>
        <v>0-1</v>
      </c>
      <c r="J38" t="str">
        <f t="shared" si="7"/>
        <v>Southampton FC</v>
      </c>
      <c r="K38" t="str">
        <f t="shared" si="8"/>
        <v>Matchday 3</v>
      </c>
      <c r="L38" t="str">
        <f t="shared" si="9"/>
        <v>[Sat Sep/26]</v>
      </c>
    </row>
    <row r="39" spans="1:12" hidden="1">
      <c r="A39" t="str">
        <f>IF(Sheet1!A42="","",Sheet1!A42)</f>
        <v>[Sun Sep/27]</v>
      </c>
      <c r="C39" t="str">
        <f t="shared" si="2"/>
        <v/>
      </c>
      <c r="D39" t="str">
        <f t="shared" si="0"/>
        <v/>
      </c>
      <c r="E39" t="str">
        <f t="shared" si="3"/>
        <v/>
      </c>
      <c r="F39" t="str">
        <f t="shared" si="4"/>
        <v/>
      </c>
      <c r="G39" t="str">
        <f t="shared" si="5"/>
        <v/>
      </c>
      <c r="H39" t="str">
        <f t="shared" si="6"/>
        <v/>
      </c>
      <c r="I39" t="str">
        <f t="shared" si="1"/>
        <v/>
      </c>
      <c r="J39" t="str">
        <f t="shared" si="7"/>
        <v/>
      </c>
      <c r="K39" t="str">
        <f t="shared" si="8"/>
        <v>Matchday 3</v>
      </c>
      <c r="L39" t="str">
        <f t="shared" si="9"/>
        <v/>
      </c>
    </row>
    <row r="40" spans="1:12">
      <c r="A40" t="str">
        <f>IF(Sheet1!A43="","",Sheet1!A43)</f>
        <v xml:space="preserve">  12.00  Sheffield United FC      0-1 (0-0)  Leeds United FC</v>
      </c>
      <c r="C40">
        <f t="shared" si="2"/>
        <v>27</v>
      </c>
      <c r="D40">
        <f t="shared" si="0"/>
        <v>36</v>
      </c>
      <c r="E40">
        <f t="shared" si="3"/>
        <v>59</v>
      </c>
      <c r="F40" t="str">
        <f t="shared" si="4"/>
        <v>12.00</v>
      </c>
      <c r="G40" t="str">
        <f t="shared" si="5"/>
        <v>Sheffield United FC</v>
      </c>
      <c r="H40" t="str">
        <f t="shared" si="6"/>
        <v>0-1</v>
      </c>
      <c r="I40" t="str">
        <f t="shared" si="1"/>
        <v>0-0</v>
      </c>
      <c r="J40" t="str">
        <f t="shared" si="7"/>
        <v>Leeds United FC</v>
      </c>
      <c r="K40" t="str">
        <f t="shared" si="8"/>
        <v>Matchday 3</v>
      </c>
      <c r="L40" t="str">
        <f t="shared" si="9"/>
        <v>[Sun Sep/27]</v>
      </c>
    </row>
    <row r="41" spans="1:12">
      <c r="A41" t="str">
        <f>IF(Sheet1!A44="","",Sheet1!A44)</f>
        <v xml:space="preserve">  14.00  Tottenham Hotspur FC     1-1 (1-0)  Newcastle United FC</v>
      </c>
      <c r="C41">
        <f t="shared" si="2"/>
        <v>28</v>
      </c>
      <c r="D41">
        <f t="shared" si="0"/>
        <v>36</v>
      </c>
      <c r="E41">
        <f t="shared" si="3"/>
        <v>63</v>
      </c>
      <c r="F41" t="str">
        <f t="shared" si="4"/>
        <v>14.00</v>
      </c>
      <c r="G41" t="str">
        <f t="shared" si="5"/>
        <v>Tottenham Hotspur FC</v>
      </c>
      <c r="H41" t="str">
        <f t="shared" si="6"/>
        <v>1-1</v>
      </c>
      <c r="I41" t="str">
        <f t="shared" si="1"/>
        <v>1-0</v>
      </c>
      <c r="J41" t="str">
        <f t="shared" si="7"/>
        <v>Newcastle United FC</v>
      </c>
      <c r="K41" t="str">
        <f t="shared" si="8"/>
        <v>Matchday 3</v>
      </c>
      <c r="L41" t="str">
        <f t="shared" si="9"/>
        <v>[Sun Sep/27]</v>
      </c>
    </row>
    <row r="42" spans="1:12">
      <c r="A42" t="str">
        <f>IF(Sheet1!A45="","",Sheet1!A45)</f>
        <v xml:space="preserve">  16.30  Manchester City FC       2-5 (1-1)  Leicester City FC</v>
      </c>
      <c r="C42">
        <f t="shared" si="2"/>
        <v>26</v>
      </c>
      <c r="D42">
        <f t="shared" si="0"/>
        <v>36</v>
      </c>
      <c r="E42">
        <f t="shared" si="3"/>
        <v>61</v>
      </c>
      <c r="F42" t="str">
        <f t="shared" si="4"/>
        <v>16.30</v>
      </c>
      <c r="G42" t="str">
        <f t="shared" si="5"/>
        <v>Manchester City FC</v>
      </c>
      <c r="H42" t="str">
        <f t="shared" si="6"/>
        <v>2-5</v>
      </c>
      <c r="I42" t="str">
        <f t="shared" si="1"/>
        <v>1-1</v>
      </c>
      <c r="J42" t="str">
        <f t="shared" si="7"/>
        <v>Leicester City FC</v>
      </c>
      <c r="K42" t="str">
        <f t="shared" si="8"/>
        <v>Matchday 3</v>
      </c>
      <c r="L42" t="str">
        <f t="shared" si="9"/>
        <v>[Sun Sep/27]</v>
      </c>
    </row>
    <row r="43" spans="1:12">
      <c r="A43" t="str">
        <f>IF(Sheet1!A46="","",Sheet1!A46)</f>
        <v xml:space="preserve">  19.00  West Ham United FC       4-0 (1-0)  Wolverhampton Wanderers FC</v>
      </c>
      <c r="C43">
        <f t="shared" si="2"/>
        <v>26</v>
      </c>
      <c r="D43">
        <f t="shared" si="0"/>
        <v>36</v>
      </c>
      <c r="E43">
        <f t="shared" si="3"/>
        <v>70</v>
      </c>
      <c r="F43" t="str">
        <f t="shared" si="4"/>
        <v>19.00</v>
      </c>
      <c r="G43" t="str">
        <f t="shared" si="5"/>
        <v>West Ham United FC</v>
      </c>
      <c r="H43" t="str">
        <f t="shared" si="6"/>
        <v>4-0</v>
      </c>
      <c r="I43" t="str">
        <f t="shared" si="1"/>
        <v>1-0</v>
      </c>
      <c r="J43" t="str">
        <f t="shared" si="7"/>
        <v>Wolverhampton Wanderers FC</v>
      </c>
      <c r="K43" t="str">
        <f t="shared" si="8"/>
        <v>Matchday 3</v>
      </c>
      <c r="L43" t="str">
        <f t="shared" si="9"/>
        <v>[Sun Sep/27]</v>
      </c>
    </row>
    <row r="44" spans="1:12" hidden="1">
      <c r="A44" t="str">
        <f>IF(Sheet1!A47="","",Sheet1!A47)</f>
        <v>[Mon Sep/28]</v>
      </c>
      <c r="C44" t="str">
        <f t="shared" si="2"/>
        <v/>
      </c>
      <c r="D44" t="str">
        <f t="shared" si="0"/>
        <v/>
      </c>
      <c r="E44" t="str">
        <f t="shared" si="3"/>
        <v/>
      </c>
      <c r="F44" t="str">
        <f t="shared" si="4"/>
        <v/>
      </c>
      <c r="G44" t="str">
        <f t="shared" si="5"/>
        <v/>
      </c>
      <c r="H44" t="str">
        <f t="shared" si="6"/>
        <v/>
      </c>
      <c r="I44" t="str">
        <f t="shared" si="1"/>
        <v/>
      </c>
      <c r="J44" t="str">
        <f t="shared" si="7"/>
        <v/>
      </c>
      <c r="K44" t="str">
        <f t="shared" si="8"/>
        <v>Matchday 3</v>
      </c>
      <c r="L44" t="str">
        <f t="shared" si="9"/>
        <v/>
      </c>
    </row>
    <row r="45" spans="1:12">
      <c r="A45" t="str">
        <f>IF(Sheet1!A48="","",Sheet1!A48)</f>
        <v xml:space="preserve">  17.45  Fulham FC                0-3 (0-2)  Aston Villa FC</v>
      </c>
      <c r="C45">
        <f t="shared" si="2"/>
        <v>17</v>
      </c>
      <c r="D45">
        <f t="shared" si="0"/>
        <v>36</v>
      </c>
      <c r="E45">
        <f t="shared" si="3"/>
        <v>58</v>
      </c>
      <c r="F45" t="str">
        <f t="shared" si="4"/>
        <v>17.45</v>
      </c>
      <c r="G45" t="str">
        <f t="shared" si="5"/>
        <v>Fulham FC</v>
      </c>
      <c r="H45" t="str">
        <f t="shared" si="6"/>
        <v>0-3</v>
      </c>
      <c r="I45" t="str">
        <f t="shared" si="1"/>
        <v>0-2</v>
      </c>
      <c r="J45" t="str">
        <f t="shared" si="7"/>
        <v>Aston Villa FC</v>
      </c>
      <c r="K45" t="str">
        <f t="shared" si="8"/>
        <v>Matchday 3</v>
      </c>
      <c r="L45" t="str">
        <f t="shared" si="9"/>
        <v>[Mon Sep/28]</v>
      </c>
    </row>
    <row r="46" spans="1:12">
      <c r="A46" t="str">
        <f>IF(Sheet1!A49="","",Sheet1!A49)</f>
        <v xml:space="preserve">  20.00  Liverpool FC             3-1 (2-1)  Arsenal FC</v>
      </c>
      <c r="C46">
        <f t="shared" si="2"/>
        <v>20</v>
      </c>
      <c r="D46">
        <f t="shared" si="0"/>
        <v>36</v>
      </c>
      <c r="E46">
        <f t="shared" si="3"/>
        <v>54</v>
      </c>
      <c r="F46" t="str">
        <f t="shared" si="4"/>
        <v>20.00</v>
      </c>
      <c r="G46" t="str">
        <f t="shared" si="5"/>
        <v>Liverpool FC</v>
      </c>
      <c r="H46" t="str">
        <f t="shared" si="6"/>
        <v>3-1</v>
      </c>
      <c r="I46" t="str">
        <f t="shared" si="1"/>
        <v>2-1</v>
      </c>
      <c r="J46" t="str">
        <f t="shared" si="7"/>
        <v>Arsenal FC</v>
      </c>
      <c r="K46" t="str">
        <f t="shared" si="8"/>
        <v>Matchday 3</v>
      </c>
      <c r="L46" t="str">
        <f t="shared" si="9"/>
        <v>[Mon Sep/28]</v>
      </c>
    </row>
    <row r="47" spans="1:12" hidden="1">
      <c r="A47" t="str">
        <f>IF(Sheet1!A50="","",Sheet1!A50)</f>
        <v/>
      </c>
      <c r="C47" t="str">
        <f t="shared" si="2"/>
        <v/>
      </c>
      <c r="D47" t="str">
        <f t="shared" si="0"/>
        <v/>
      </c>
      <c r="E47" t="str">
        <f t="shared" si="3"/>
        <v/>
      </c>
      <c r="F47" t="str">
        <f t="shared" si="4"/>
        <v/>
      </c>
      <c r="G47" t="str">
        <f t="shared" si="5"/>
        <v/>
      </c>
      <c r="H47" t="str">
        <f t="shared" si="6"/>
        <v/>
      </c>
      <c r="I47" t="str">
        <f t="shared" si="1"/>
        <v/>
      </c>
      <c r="J47" t="str">
        <f t="shared" si="7"/>
        <v/>
      </c>
      <c r="K47" t="str">
        <f t="shared" si="8"/>
        <v>Matchday 3</v>
      </c>
      <c r="L47" t="str">
        <f t="shared" si="9"/>
        <v/>
      </c>
    </row>
    <row r="48" spans="1:12" hidden="1">
      <c r="A48" t="str">
        <f>IF(Sheet1!A51="","",Sheet1!A51)</f>
        <v/>
      </c>
      <c r="C48" t="str">
        <f t="shared" si="2"/>
        <v/>
      </c>
      <c r="D48" t="str">
        <f t="shared" si="0"/>
        <v/>
      </c>
      <c r="E48" t="str">
        <f t="shared" si="3"/>
        <v/>
      </c>
      <c r="F48" t="str">
        <f t="shared" si="4"/>
        <v/>
      </c>
      <c r="G48" t="str">
        <f t="shared" si="5"/>
        <v/>
      </c>
      <c r="H48" t="str">
        <f t="shared" si="6"/>
        <v/>
      </c>
      <c r="I48" t="str">
        <f t="shared" si="1"/>
        <v/>
      </c>
      <c r="J48" t="str">
        <f t="shared" si="7"/>
        <v/>
      </c>
      <c r="K48" t="str">
        <f t="shared" si="8"/>
        <v>Matchday 3</v>
      </c>
      <c r="L48" t="str">
        <f t="shared" si="9"/>
        <v/>
      </c>
    </row>
    <row r="49" spans="1:12" hidden="1">
      <c r="A49" t="str">
        <f>IF(Sheet1!A52="","",Sheet1!A52)</f>
        <v>Matchday 4</v>
      </c>
      <c r="C49" t="str">
        <f t="shared" si="2"/>
        <v/>
      </c>
      <c r="D49" t="str">
        <f t="shared" si="0"/>
        <v/>
      </c>
      <c r="E49" t="str">
        <f t="shared" si="3"/>
        <v/>
      </c>
      <c r="F49" t="str">
        <f t="shared" si="4"/>
        <v/>
      </c>
      <c r="G49" t="str">
        <f t="shared" si="5"/>
        <v/>
      </c>
      <c r="H49" t="str">
        <f t="shared" si="6"/>
        <v/>
      </c>
      <c r="I49" t="str">
        <f t="shared" si="1"/>
        <v/>
      </c>
      <c r="J49" t="str">
        <f t="shared" si="7"/>
        <v/>
      </c>
      <c r="K49" t="str">
        <f t="shared" si="8"/>
        <v>Matchday 3</v>
      </c>
      <c r="L49" t="str">
        <f t="shared" si="9"/>
        <v/>
      </c>
    </row>
    <row r="50" spans="1:12" hidden="1">
      <c r="A50" t="str">
        <f>IF(Sheet1!A53="","",Sheet1!A53)</f>
        <v>[Sat Oct/3]</v>
      </c>
      <c r="C50" t="str">
        <f t="shared" si="2"/>
        <v/>
      </c>
      <c r="D50" t="str">
        <f t="shared" si="0"/>
        <v/>
      </c>
      <c r="E50" t="str">
        <f t="shared" si="3"/>
        <v/>
      </c>
      <c r="F50" t="str">
        <f t="shared" si="4"/>
        <v/>
      </c>
      <c r="G50" t="str">
        <f t="shared" si="5"/>
        <v/>
      </c>
      <c r="H50" t="str">
        <f t="shared" si="6"/>
        <v/>
      </c>
      <c r="I50" t="str">
        <f t="shared" si="1"/>
        <v/>
      </c>
      <c r="J50" t="str">
        <f t="shared" si="7"/>
        <v/>
      </c>
      <c r="K50" t="str">
        <f t="shared" si="8"/>
        <v>Matchday 3</v>
      </c>
      <c r="L50" t="str">
        <f t="shared" si="9"/>
        <v/>
      </c>
    </row>
    <row r="51" spans="1:12">
      <c r="A51" t="str">
        <f>IF(Sheet1!A54="","",Sheet1!A54)</f>
        <v xml:space="preserve">  12.30  Chelsea FC               4-0 (0-0)  Crystal Palace FC</v>
      </c>
      <c r="C51">
        <f t="shared" si="2"/>
        <v>18</v>
      </c>
      <c r="D51">
        <f t="shared" si="0"/>
        <v>36</v>
      </c>
      <c r="E51">
        <f t="shared" si="3"/>
        <v>61</v>
      </c>
      <c r="F51" t="str">
        <f t="shared" si="4"/>
        <v>12.30</v>
      </c>
      <c r="G51" t="str">
        <f t="shared" si="5"/>
        <v>Chelsea FC</v>
      </c>
      <c r="H51" t="str">
        <f t="shared" si="6"/>
        <v>4-0</v>
      </c>
      <c r="I51" t="str">
        <f t="shared" si="1"/>
        <v>0-0</v>
      </c>
      <c r="J51" t="str">
        <f t="shared" si="7"/>
        <v>Crystal Palace FC</v>
      </c>
      <c r="K51" t="str">
        <f t="shared" si="8"/>
        <v>Matchday 4</v>
      </c>
      <c r="L51" t="str">
        <f t="shared" si="9"/>
        <v>[Sat Oct/3]</v>
      </c>
    </row>
    <row r="52" spans="1:12">
      <c r="A52" t="str">
        <f>IF(Sheet1!A55="","",Sheet1!A55)</f>
        <v xml:space="preserve">  15.00  Everton FC               4-2 (2-1)  Brighton &amp; Hove Albion FC</v>
      </c>
      <c r="C52">
        <f t="shared" si="2"/>
        <v>18</v>
      </c>
      <c r="D52">
        <f t="shared" si="0"/>
        <v>36</v>
      </c>
      <c r="E52">
        <f t="shared" si="3"/>
        <v>69</v>
      </c>
      <c r="F52" t="str">
        <f t="shared" si="4"/>
        <v>15.00</v>
      </c>
      <c r="G52" t="str">
        <f t="shared" si="5"/>
        <v>Everton FC</v>
      </c>
      <c r="H52" t="str">
        <f t="shared" si="6"/>
        <v>4-2</v>
      </c>
      <c r="I52" t="str">
        <f t="shared" si="1"/>
        <v>2-1</v>
      </c>
      <c r="J52" t="str">
        <f t="shared" si="7"/>
        <v>Brighton &amp; Hove Albion FC</v>
      </c>
      <c r="K52" t="str">
        <f t="shared" si="8"/>
        <v>Matchday 4</v>
      </c>
      <c r="L52" t="str">
        <f t="shared" si="9"/>
        <v>[Sat Oct/3]</v>
      </c>
    </row>
    <row r="53" spans="1:12">
      <c r="A53" t="str">
        <f>IF(Sheet1!A56="","",Sheet1!A56)</f>
        <v xml:space="preserve">  17.30  Leeds United FC          1-1 (0-1)  Manchester City FC</v>
      </c>
      <c r="C53">
        <f t="shared" si="2"/>
        <v>23</v>
      </c>
      <c r="D53">
        <f t="shared" si="0"/>
        <v>36</v>
      </c>
      <c r="E53">
        <f t="shared" si="3"/>
        <v>62</v>
      </c>
      <c r="F53" t="str">
        <f t="shared" si="4"/>
        <v>17.30</v>
      </c>
      <c r="G53" t="str">
        <f t="shared" si="5"/>
        <v>Leeds United FC</v>
      </c>
      <c r="H53" t="str">
        <f t="shared" si="6"/>
        <v>1-1</v>
      </c>
      <c r="I53" t="str">
        <f t="shared" si="1"/>
        <v>0-1</v>
      </c>
      <c r="J53" t="str">
        <f t="shared" si="7"/>
        <v>Manchester City FC</v>
      </c>
      <c r="K53" t="str">
        <f t="shared" si="8"/>
        <v>Matchday 4</v>
      </c>
      <c r="L53" t="str">
        <f t="shared" si="9"/>
        <v>[Sat Oct/3]</v>
      </c>
    </row>
    <row r="54" spans="1:12">
      <c r="A54" t="str">
        <f>IF(Sheet1!A57="","",Sheet1!A57)</f>
        <v xml:space="preserve">  20.00  Newcastle United FC      3-1 (1-0)  Burnley FC</v>
      </c>
      <c r="C54">
        <f t="shared" si="2"/>
        <v>27</v>
      </c>
      <c r="D54">
        <f t="shared" si="0"/>
        <v>36</v>
      </c>
      <c r="E54">
        <f t="shared" si="3"/>
        <v>54</v>
      </c>
      <c r="F54" t="str">
        <f t="shared" si="4"/>
        <v>20.00</v>
      </c>
      <c r="G54" t="str">
        <f t="shared" si="5"/>
        <v>Newcastle United FC</v>
      </c>
      <c r="H54" t="str">
        <f t="shared" si="6"/>
        <v>3-1</v>
      </c>
      <c r="I54" t="str">
        <f t="shared" si="1"/>
        <v>1-0</v>
      </c>
      <c r="J54" t="str">
        <f t="shared" si="7"/>
        <v>Burnley FC</v>
      </c>
      <c r="K54" t="str">
        <f t="shared" si="8"/>
        <v>Matchday 4</v>
      </c>
      <c r="L54" t="str">
        <f t="shared" si="9"/>
        <v>[Sat Oct/3]</v>
      </c>
    </row>
    <row r="55" spans="1:12" hidden="1">
      <c r="A55" t="str">
        <f>IF(Sheet1!A58="","",Sheet1!A58)</f>
        <v>[Sun Oct/4]</v>
      </c>
      <c r="C55" t="str">
        <f t="shared" si="2"/>
        <v/>
      </c>
      <c r="D55" t="str">
        <f t="shared" si="0"/>
        <v/>
      </c>
      <c r="E55" t="str">
        <f t="shared" si="3"/>
        <v/>
      </c>
      <c r="F55" t="str">
        <f t="shared" si="4"/>
        <v/>
      </c>
      <c r="G55" t="str">
        <f t="shared" si="5"/>
        <v/>
      </c>
      <c r="H55" t="str">
        <f t="shared" si="6"/>
        <v/>
      </c>
      <c r="I55" t="str">
        <f t="shared" si="1"/>
        <v/>
      </c>
      <c r="J55" t="str">
        <f t="shared" si="7"/>
        <v/>
      </c>
      <c r="K55" t="str">
        <f t="shared" si="8"/>
        <v>Matchday 4</v>
      </c>
      <c r="L55" t="str">
        <f t="shared" si="9"/>
        <v/>
      </c>
    </row>
    <row r="56" spans="1:12">
      <c r="A56" t="str">
        <f>IF(Sheet1!A59="","",Sheet1!A59)</f>
        <v xml:space="preserve">  12.00  Leicester City FC        0-3 (0-2)  West Ham United FC</v>
      </c>
      <c r="C56">
        <f t="shared" si="2"/>
        <v>25</v>
      </c>
      <c r="D56">
        <f t="shared" si="0"/>
        <v>36</v>
      </c>
      <c r="E56">
        <f t="shared" si="3"/>
        <v>62</v>
      </c>
      <c r="F56" t="str">
        <f t="shared" si="4"/>
        <v>12.00</v>
      </c>
      <c r="G56" t="str">
        <f t="shared" si="5"/>
        <v>Leicester City FC</v>
      </c>
      <c r="H56" t="str">
        <f t="shared" si="6"/>
        <v>0-3</v>
      </c>
      <c r="I56" t="str">
        <f t="shared" si="1"/>
        <v>0-2</v>
      </c>
      <c r="J56" t="str">
        <f t="shared" si="7"/>
        <v>West Ham United FC</v>
      </c>
      <c r="K56" t="str">
        <f t="shared" si="8"/>
        <v>Matchday 4</v>
      </c>
      <c r="L56" t="str">
        <f t="shared" si="9"/>
        <v>[Sun Oct/4]</v>
      </c>
    </row>
    <row r="57" spans="1:12">
      <c r="A57" t="str">
        <f>IF(Sheet1!A60="","",Sheet1!A60)</f>
        <v xml:space="preserve">         Southampton FC           2-0 (1-0)  West Bromwich Albion FC</v>
      </c>
      <c r="C57">
        <f t="shared" si="2"/>
        <v>22</v>
      </c>
      <c r="D57">
        <f t="shared" si="0"/>
        <v>36</v>
      </c>
      <c r="E57">
        <f t="shared" si="3"/>
        <v>67</v>
      </c>
      <c r="F57" t="str">
        <f t="shared" si="4"/>
        <v/>
      </c>
      <c r="G57" t="str">
        <f t="shared" si="5"/>
        <v xml:space="preserve">       Southampton FC </v>
      </c>
      <c r="H57" t="str">
        <f t="shared" si="6"/>
        <v>2-0</v>
      </c>
      <c r="I57" t="str">
        <f t="shared" si="1"/>
        <v>1-0</v>
      </c>
      <c r="J57" t="str">
        <f t="shared" si="7"/>
        <v>(1-0)  West Bromwich Albion FC</v>
      </c>
      <c r="K57" t="str">
        <f t="shared" si="8"/>
        <v>Matchday 4</v>
      </c>
      <c r="L57" t="str">
        <f t="shared" si="9"/>
        <v>[Sun Oct/4]</v>
      </c>
    </row>
    <row r="58" spans="1:12">
      <c r="A58" t="str">
        <f>IF(Sheet1!A61="","",Sheet1!A61)</f>
        <v xml:space="preserve">  14.00  Arsenal FC               2-1 (0-0)  Sheffield United FC</v>
      </c>
      <c r="C58">
        <f t="shared" si="2"/>
        <v>18</v>
      </c>
      <c r="D58">
        <f t="shared" si="0"/>
        <v>36</v>
      </c>
      <c r="E58">
        <f t="shared" si="3"/>
        <v>63</v>
      </c>
      <c r="F58" t="str">
        <f t="shared" si="4"/>
        <v>14.00</v>
      </c>
      <c r="G58" t="str">
        <f t="shared" si="5"/>
        <v>Arsenal FC</v>
      </c>
      <c r="H58" t="str">
        <f t="shared" si="6"/>
        <v>2-1</v>
      </c>
      <c r="I58" t="str">
        <f t="shared" si="1"/>
        <v>0-0</v>
      </c>
      <c r="J58" t="str">
        <f t="shared" si="7"/>
        <v>Sheffield United FC</v>
      </c>
      <c r="K58" t="str">
        <f t="shared" si="8"/>
        <v>Matchday 4</v>
      </c>
      <c r="L58" t="str">
        <f t="shared" si="9"/>
        <v>[Sun Oct/4]</v>
      </c>
    </row>
    <row r="59" spans="1:12">
      <c r="A59" t="str">
        <f>IF(Sheet1!A62="","",Sheet1!A62)</f>
        <v xml:space="preserve">         Wolverhampton Wanderers FC  1-0 (0-0)  Fulham FC</v>
      </c>
      <c r="C59">
        <f t="shared" si="2"/>
        <v>34</v>
      </c>
      <c r="D59">
        <f t="shared" si="0"/>
        <v>39</v>
      </c>
      <c r="E59">
        <f t="shared" si="3"/>
        <v>56</v>
      </c>
      <c r="F59" t="str">
        <f t="shared" si="4"/>
        <v/>
      </c>
      <c r="G59" t="str">
        <f t="shared" si="5"/>
        <v xml:space="preserve">       Wolverhampton Wanderers FC </v>
      </c>
      <c r="H59" t="str">
        <f t="shared" si="6"/>
        <v>1-0</v>
      </c>
      <c r="I59" t="str">
        <f t="shared" si="1"/>
        <v>0-0</v>
      </c>
      <c r="J59" t="str">
        <f t="shared" si="7"/>
        <v>(0-0)  Fulham FC</v>
      </c>
      <c r="K59" t="str">
        <f t="shared" si="8"/>
        <v>Matchday 4</v>
      </c>
      <c r="L59" t="str">
        <f t="shared" si="9"/>
        <v>[Sun Oct/4]</v>
      </c>
    </row>
    <row r="60" spans="1:12">
      <c r="A60" t="str">
        <f>IF(Sheet1!A63="","",Sheet1!A63)</f>
        <v xml:space="preserve">  16.30  Manchester United        1-6 (1-4)  Tottenham Hotspur FC</v>
      </c>
      <c r="C60">
        <f t="shared" si="2"/>
        <v>28</v>
      </c>
      <c r="D60">
        <f t="shared" si="0"/>
        <v>36</v>
      </c>
      <c r="E60">
        <f t="shared" si="3"/>
        <v>67</v>
      </c>
      <c r="F60" t="str">
        <f t="shared" si="4"/>
        <v>16.30</v>
      </c>
      <c r="G60" t="str">
        <f t="shared" si="5"/>
        <v xml:space="preserve">Manchester United   </v>
      </c>
      <c r="H60" t="str">
        <f t="shared" si="6"/>
        <v>1-6</v>
      </c>
      <c r="I60" t="str">
        <f t="shared" si="1"/>
        <v>1-4</v>
      </c>
      <c r="J60" t="str">
        <f t="shared" si="7"/>
        <v>Tottenham Hotspur FC</v>
      </c>
      <c r="K60" t="str">
        <f t="shared" si="8"/>
        <v>Matchday 4</v>
      </c>
      <c r="L60" t="str">
        <f t="shared" si="9"/>
        <v>[Sun Oct/4]</v>
      </c>
    </row>
    <row r="61" spans="1:12">
      <c r="A61" t="str">
        <f>IF(Sheet1!A64="","",Sheet1!A64)</f>
        <v xml:space="preserve">  19.15  Aston Villa FC           7-2 (4-1)  Liverpool FC</v>
      </c>
      <c r="C61">
        <f t="shared" si="2"/>
        <v>22</v>
      </c>
      <c r="D61">
        <f t="shared" si="0"/>
        <v>36</v>
      </c>
      <c r="E61">
        <f t="shared" si="3"/>
        <v>56</v>
      </c>
      <c r="F61" t="str">
        <f t="shared" si="4"/>
        <v>19.15</v>
      </c>
      <c r="G61" t="str">
        <f t="shared" si="5"/>
        <v>Aston Villa FC</v>
      </c>
      <c r="H61" t="str">
        <f t="shared" si="6"/>
        <v>7-2</v>
      </c>
      <c r="I61" t="str">
        <f t="shared" si="1"/>
        <v>4-1</v>
      </c>
      <c r="J61" t="str">
        <f t="shared" si="7"/>
        <v>Liverpool FC</v>
      </c>
      <c r="K61" t="str">
        <f t="shared" si="8"/>
        <v>Matchday 4</v>
      </c>
      <c r="L61" t="str">
        <f t="shared" si="9"/>
        <v>[Sun Oct/4]</v>
      </c>
    </row>
    <row r="62" spans="1:12" hidden="1">
      <c r="A62" t="str">
        <f>IF(Sheet1!A65="","",Sheet1!A65)</f>
        <v/>
      </c>
      <c r="C62" t="str">
        <f t="shared" si="2"/>
        <v/>
      </c>
      <c r="D62" t="str">
        <f t="shared" si="0"/>
        <v/>
      </c>
      <c r="E62" t="str">
        <f t="shared" si="3"/>
        <v/>
      </c>
      <c r="F62" t="str">
        <f t="shared" si="4"/>
        <v/>
      </c>
      <c r="G62" t="str">
        <f t="shared" si="5"/>
        <v/>
      </c>
      <c r="H62" t="str">
        <f t="shared" si="6"/>
        <v/>
      </c>
      <c r="I62" t="str">
        <f t="shared" si="1"/>
        <v/>
      </c>
      <c r="J62" t="str">
        <f t="shared" si="7"/>
        <v/>
      </c>
      <c r="K62" t="str">
        <f t="shared" si="8"/>
        <v>Matchday 4</v>
      </c>
      <c r="L62" t="str">
        <f t="shared" si="9"/>
        <v/>
      </c>
    </row>
    <row r="63" spans="1:12" hidden="1">
      <c r="A63" t="str">
        <f>IF(Sheet1!A66="","",Sheet1!A66)</f>
        <v/>
      </c>
      <c r="C63" t="str">
        <f t="shared" si="2"/>
        <v/>
      </c>
      <c r="D63" t="str">
        <f t="shared" si="0"/>
        <v/>
      </c>
      <c r="E63" t="str">
        <f t="shared" si="3"/>
        <v/>
      </c>
      <c r="F63" t="str">
        <f t="shared" si="4"/>
        <v/>
      </c>
      <c r="G63" t="str">
        <f t="shared" si="5"/>
        <v/>
      </c>
      <c r="H63" t="str">
        <f t="shared" si="6"/>
        <v/>
      </c>
      <c r="I63" t="str">
        <f t="shared" si="1"/>
        <v/>
      </c>
      <c r="J63" t="str">
        <f t="shared" si="7"/>
        <v/>
      </c>
      <c r="K63" t="str">
        <f t="shared" si="8"/>
        <v>Matchday 4</v>
      </c>
      <c r="L63" t="str">
        <f t="shared" si="9"/>
        <v/>
      </c>
    </row>
    <row r="64" spans="1:12" hidden="1">
      <c r="A64" t="str">
        <f>IF(Sheet1!A67="","",Sheet1!A67)</f>
        <v>Matchday 5</v>
      </c>
      <c r="C64" t="str">
        <f t="shared" si="2"/>
        <v/>
      </c>
      <c r="D64" t="str">
        <f t="shared" si="0"/>
        <v/>
      </c>
      <c r="E64" t="str">
        <f t="shared" si="3"/>
        <v/>
      </c>
      <c r="F64" t="str">
        <f t="shared" si="4"/>
        <v/>
      </c>
      <c r="G64" t="str">
        <f t="shared" si="5"/>
        <v/>
      </c>
      <c r="H64" t="str">
        <f t="shared" si="6"/>
        <v/>
      </c>
      <c r="I64" t="str">
        <f t="shared" si="1"/>
        <v/>
      </c>
      <c r="J64" t="str">
        <f t="shared" si="7"/>
        <v/>
      </c>
      <c r="K64" t="str">
        <f t="shared" si="8"/>
        <v>Matchday 4</v>
      </c>
      <c r="L64" t="str">
        <f t="shared" si="9"/>
        <v/>
      </c>
    </row>
    <row r="65" spans="1:12" hidden="1">
      <c r="A65" t="str">
        <f>IF(Sheet1!A68="","",Sheet1!A68)</f>
        <v>[Sat Oct/17]</v>
      </c>
      <c r="C65" t="str">
        <f t="shared" si="2"/>
        <v/>
      </c>
      <c r="D65" t="str">
        <f t="shared" si="0"/>
        <v/>
      </c>
      <c r="E65" t="str">
        <f t="shared" si="3"/>
        <v/>
      </c>
      <c r="F65" t="str">
        <f t="shared" si="4"/>
        <v/>
      </c>
      <c r="G65" t="str">
        <f t="shared" si="5"/>
        <v/>
      </c>
      <c r="H65" t="str">
        <f t="shared" si="6"/>
        <v/>
      </c>
      <c r="I65" t="str">
        <f t="shared" si="1"/>
        <v/>
      </c>
      <c r="J65" t="str">
        <f t="shared" si="7"/>
        <v/>
      </c>
      <c r="K65" t="str">
        <f t="shared" si="8"/>
        <v>Matchday 4</v>
      </c>
      <c r="L65" t="str">
        <f t="shared" si="9"/>
        <v/>
      </c>
    </row>
    <row r="66" spans="1:12">
      <c r="A66" t="str">
        <f>IF(Sheet1!A69="","",Sheet1!A69)</f>
        <v xml:space="preserve">  12.30  Everton FC               2-2 (1-1)  Liverpool FC</v>
      </c>
      <c r="C66">
        <f t="shared" si="2"/>
        <v>18</v>
      </c>
      <c r="D66">
        <f t="shared" si="0"/>
        <v>36</v>
      </c>
      <c r="E66">
        <f t="shared" si="3"/>
        <v>56</v>
      </c>
      <c r="F66" t="str">
        <f t="shared" si="4"/>
        <v>12.30</v>
      </c>
      <c r="G66" t="str">
        <f t="shared" si="5"/>
        <v>Everton FC</v>
      </c>
      <c r="H66" t="str">
        <f t="shared" si="6"/>
        <v>2-2</v>
      </c>
      <c r="I66" t="str">
        <f t="shared" si="1"/>
        <v>1-1</v>
      </c>
      <c r="J66" t="str">
        <f t="shared" si="7"/>
        <v>Liverpool FC</v>
      </c>
      <c r="K66" t="str">
        <f t="shared" si="8"/>
        <v>Matchday 5</v>
      </c>
      <c r="L66" t="str">
        <f t="shared" si="9"/>
        <v>[Sat Oct/17]</v>
      </c>
    </row>
    <row r="67" spans="1:12">
      <c r="A67" t="str">
        <f>IF(Sheet1!A70="","",Sheet1!A70)</f>
        <v xml:space="preserve">  15.00  Chelsea FC               3-3 (2-1)  Southampton FC</v>
      </c>
      <c r="C67">
        <f t="shared" si="2"/>
        <v>18</v>
      </c>
      <c r="D67">
        <f t="shared" ref="D67:D130" si="10">IFERROR(FIND("-",A67),"")</f>
        <v>36</v>
      </c>
      <c r="E67">
        <f t="shared" si="3"/>
        <v>58</v>
      </c>
      <c r="F67" t="str">
        <f t="shared" si="4"/>
        <v>15.00</v>
      </c>
      <c r="G67" t="str">
        <f t="shared" si="5"/>
        <v>Chelsea FC</v>
      </c>
      <c r="H67" t="str">
        <f t="shared" si="6"/>
        <v>3-3</v>
      </c>
      <c r="I67" t="str">
        <f t="shared" ref="I67:I130" si="11">IFERROR(IF(LEFT(H67,1)=" ","",MID(A67,D67+4,3)),"")</f>
        <v>2-1</v>
      </c>
      <c r="J67" t="str">
        <f t="shared" si="7"/>
        <v>Southampton FC</v>
      </c>
      <c r="K67" t="str">
        <f t="shared" si="8"/>
        <v>Matchday 5</v>
      </c>
      <c r="L67" t="str">
        <f t="shared" si="9"/>
        <v>[Sat Oct/17]</v>
      </c>
    </row>
    <row r="68" spans="1:12">
      <c r="A68" t="str">
        <f>IF(Sheet1!A71="","",Sheet1!A71)</f>
        <v xml:space="preserve">  17.30  Manchester City FC       1-0 (1-0)  Arsenal FC</v>
      </c>
      <c r="C68">
        <f t="shared" ref="C68:C131" si="12">IFERROR(FIND("FC",SUBSTITUTE(A68,"Manchester United","Manchester United FC")),"")</f>
        <v>26</v>
      </c>
      <c r="D68">
        <f t="shared" si="10"/>
        <v>36</v>
      </c>
      <c r="E68">
        <f t="shared" ref="E68:E131" si="13">IFERROR(FIND("FC",SUBSTITUTE(A68,"Manchester United","Manchester United FC"),D68),"")</f>
        <v>54</v>
      </c>
      <c r="F68" t="str">
        <f t="shared" ref="F68:F131" si="14">IFERROR(IF(VALUE(MID($A68,3,2))&lt;25,MID($A68,3,5),""),"")</f>
        <v>17.30</v>
      </c>
      <c r="G68" t="str">
        <f t="shared" ref="G68:G131" si="15">IFERROR(IFERROR(IF(VALUE(MID($A68,3,2))&lt;25,MID($A68,10,C68-8),""),MID(A68,3,C68)),"")</f>
        <v>Manchester City FC</v>
      </c>
      <c r="H68" t="str">
        <f t="shared" ref="H68:H131" si="16">IFERROR(MID(A68,D68-1,3),"")</f>
        <v>1-0</v>
      </c>
      <c r="I68" t="str">
        <f t="shared" si="11"/>
        <v>1-0</v>
      </c>
      <c r="J68" t="str">
        <f t="shared" ref="J68:J131" si="17">IFERROR(IFERROR(IF(VALUE(MID($A68,3,2))&lt;25,MID($A68,D68+10,E68-8),""),MID(A68,D68+3,E68)),"")</f>
        <v>Arsenal FC</v>
      </c>
      <c r="K68" t="str">
        <f t="shared" ref="K68:K131" si="18">IF(LEFT(A66,8)="Matchday",A66,K67)</f>
        <v>Matchday 5</v>
      </c>
      <c r="L68" t="str">
        <f t="shared" ref="L68:L131" si="19">IF(C68="","",IF(LEFT(A67,1)="[",A67,L67))</f>
        <v>[Sat Oct/17]</v>
      </c>
    </row>
    <row r="69" spans="1:12">
      <c r="A69" t="str">
        <f>IF(Sheet1!A72="","",Sheet1!A72)</f>
        <v xml:space="preserve">  20.00  Newcastle United FC      1-4 (1-1)  Manchester United</v>
      </c>
      <c r="C69">
        <f t="shared" si="12"/>
        <v>27</v>
      </c>
      <c r="D69">
        <f t="shared" si="10"/>
        <v>36</v>
      </c>
      <c r="E69">
        <f t="shared" si="13"/>
        <v>64</v>
      </c>
      <c r="F69" t="str">
        <f t="shared" si="14"/>
        <v>20.00</v>
      </c>
      <c r="G69" t="str">
        <f t="shared" si="15"/>
        <v>Newcastle United FC</v>
      </c>
      <c r="H69" t="str">
        <f t="shared" si="16"/>
        <v>1-4</v>
      </c>
      <c r="I69" t="str">
        <f t="shared" si="11"/>
        <v>1-1</v>
      </c>
      <c r="J69" t="str">
        <f t="shared" si="17"/>
        <v>Manchester United</v>
      </c>
      <c r="K69" t="str">
        <f t="shared" si="18"/>
        <v>Matchday 5</v>
      </c>
      <c r="L69" t="str">
        <f t="shared" si="19"/>
        <v>[Sat Oct/17]</v>
      </c>
    </row>
    <row r="70" spans="1:12" hidden="1">
      <c r="A70" t="str">
        <f>IF(Sheet1!A73="","",Sheet1!A73)</f>
        <v>[Sun Oct/18]</v>
      </c>
      <c r="C70" t="str">
        <f t="shared" si="12"/>
        <v/>
      </c>
      <c r="D70" t="str">
        <f t="shared" si="10"/>
        <v/>
      </c>
      <c r="E70" t="str">
        <f t="shared" si="13"/>
        <v/>
      </c>
      <c r="F70" t="str">
        <f t="shared" si="14"/>
        <v/>
      </c>
      <c r="G70" t="str">
        <f t="shared" si="15"/>
        <v/>
      </c>
      <c r="H70" t="str">
        <f t="shared" si="16"/>
        <v/>
      </c>
      <c r="I70" t="str">
        <f t="shared" si="11"/>
        <v/>
      </c>
      <c r="J70" t="str">
        <f t="shared" si="17"/>
        <v/>
      </c>
      <c r="K70" t="str">
        <f t="shared" si="18"/>
        <v>Matchday 5</v>
      </c>
      <c r="L70" t="str">
        <f t="shared" si="19"/>
        <v/>
      </c>
    </row>
    <row r="71" spans="1:12">
      <c r="A71" t="str">
        <f>IF(Sheet1!A74="","",Sheet1!A74)</f>
        <v xml:space="preserve">  12.00  Sheffield United FC      1-1 (0-0)  Fulham FC</v>
      </c>
      <c r="C71">
        <f t="shared" si="12"/>
        <v>27</v>
      </c>
      <c r="D71">
        <f t="shared" si="10"/>
        <v>36</v>
      </c>
      <c r="E71">
        <f t="shared" si="13"/>
        <v>53</v>
      </c>
      <c r="F71" t="str">
        <f t="shared" si="14"/>
        <v>12.00</v>
      </c>
      <c r="G71" t="str">
        <f t="shared" si="15"/>
        <v>Sheffield United FC</v>
      </c>
      <c r="H71" t="str">
        <f t="shared" si="16"/>
        <v>1-1</v>
      </c>
      <c r="I71" t="str">
        <f t="shared" si="11"/>
        <v>0-0</v>
      </c>
      <c r="J71" t="str">
        <f t="shared" si="17"/>
        <v>Fulham FC</v>
      </c>
      <c r="K71" t="str">
        <f t="shared" si="18"/>
        <v>Matchday 5</v>
      </c>
      <c r="L71" t="str">
        <f t="shared" si="19"/>
        <v>[Sun Oct/18]</v>
      </c>
    </row>
    <row r="72" spans="1:12">
      <c r="A72" t="str">
        <f>IF(Sheet1!A75="","",Sheet1!A75)</f>
        <v xml:space="preserve">  14.00  Crystal Palace FC        1-1 (1-0)  Brighton &amp; Hove Albion FC</v>
      </c>
      <c r="C72">
        <f t="shared" si="12"/>
        <v>25</v>
      </c>
      <c r="D72">
        <f t="shared" si="10"/>
        <v>36</v>
      </c>
      <c r="E72">
        <f t="shared" si="13"/>
        <v>69</v>
      </c>
      <c r="F72" t="str">
        <f t="shared" si="14"/>
        <v>14.00</v>
      </c>
      <c r="G72" t="str">
        <f t="shared" si="15"/>
        <v>Crystal Palace FC</v>
      </c>
      <c r="H72" t="str">
        <f t="shared" si="16"/>
        <v>1-1</v>
      </c>
      <c r="I72" t="str">
        <f t="shared" si="11"/>
        <v>1-0</v>
      </c>
      <c r="J72" t="str">
        <f t="shared" si="17"/>
        <v>Brighton &amp; Hove Albion FC</v>
      </c>
      <c r="K72" t="str">
        <f t="shared" si="18"/>
        <v>Matchday 5</v>
      </c>
      <c r="L72" t="str">
        <f t="shared" si="19"/>
        <v>[Sun Oct/18]</v>
      </c>
    </row>
    <row r="73" spans="1:12">
      <c r="A73" t="str">
        <f>IF(Sheet1!A76="","",Sheet1!A76)</f>
        <v xml:space="preserve">  16.30  Tottenham Hotspur FC     3-3 (3-0)  West Ham United FC</v>
      </c>
      <c r="C73">
        <f t="shared" si="12"/>
        <v>28</v>
      </c>
      <c r="D73">
        <f t="shared" si="10"/>
        <v>36</v>
      </c>
      <c r="E73">
        <f t="shared" si="13"/>
        <v>62</v>
      </c>
      <c r="F73" t="str">
        <f t="shared" si="14"/>
        <v>16.30</v>
      </c>
      <c r="G73" t="str">
        <f t="shared" si="15"/>
        <v>Tottenham Hotspur FC</v>
      </c>
      <c r="H73" t="str">
        <f t="shared" si="16"/>
        <v>3-3</v>
      </c>
      <c r="I73" t="str">
        <f t="shared" si="11"/>
        <v>3-0</v>
      </c>
      <c r="J73" t="str">
        <f t="shared" si="17"/>
        <v>West Ham United FC</v>
      </c>
      <c r="K73" t="str">
        <f t="shared" si="18"/>
        <v>Matchday 5</v>
      </c>
      <c r="L73" t="str">
        <f t="shared" si="19"/>
        <v>[Sun Oct/18]</v>
      </c>
    </row>
    <row r="74" spans="1:12">
      <c r="A74" t="str">
        <f>IF(Sheet1!A77="","",Sheet1!A77)</f>
        <v xml:space="preserve">  19.15  Leicester City FC        0-1 (0-0)  Aston Villa FC</v>
      </c>
      <c r="C74">
        <f t="shared" si="12"/>
        <v>25</v>
      </c>
      <c r="D74">
        <f t="shared" si="10"/>
        <v>36</v>
      </c>
      <c r="E74">
        <f t="shared" si="13"/>
        <v>58</v>
      </c>
      <c r="F74" t="str">
        <f t="shared" si="14"/>
        <v>19.15</v>
      </c>
      <c r="G74" t="str">
        <f t="shared" si="15"/>
        <v>Leicester City FC</v>
      </c>
      <c r="H74" t="str">
        <f t="shared" si="16"/>
        <v>0-1</v>
      </c>
      <c r="I74" t="str">
        <f t="shared" si="11"/>
        <v>0-0</v>
      </c>
      <c r="J74" t="str">
        <f t="shared" si="17"/>
        <v>Aston Villa FC</v>
      </c>
      <c r="K74" t="str">
        <f t="shared" si="18"/>
        <v>Matchday 5</v>
      </c>
      <c r="L74" t="str">
        <f t="shared" si="19"/>
        <v>[Sun Oct/18]</v>
      </c>
    </row>
    <row r="75" spans="1:12" hidden="1">
      <c r="A75" t="str">
        <f>IF(Sheet1!A78="","",Sheet1!A78)</f>
        <v>[Mon Oct/19]</v>
      </c>
      <c r="C75" t="str">
        <f t="shared" si="12"/>
        <v/>
      </c>
      <c r="D75" t="str">
        <f t="shared" si="10"/>
        <v/>
      </c>
      <c r="E75" t="str">
        <f t="shared" si="13"/>
        <v/>
      </c>
      <c r="F75" t="str">
        <f t="shared" si="14"/>
        <v/>
      </c>
      <c r="G75" t="str">
        <f t="shared" si="15"/>
        <v/>
      </c>
      <c r="H75" t="str">
        <f t="shared" si="16"/>
        <v/>
      </c>
      <c r="I75" t="str">
        <f t="shared" si="11"/>
        <v/>
      </c>
      <c r="J75" t="str">
        <f t="shared" si="17"/>
        <v/>
      </c>
      <c r="K75" t="str">
        <f t="shared" si="18"/>
        <v>Matchday 5</v>
      </c>
      <c r="L75" t="str">
        <f t="shared" si="19"/>
        <v/>
      </c>
    </row>
    <row r="76" spans="1:12">
      <c r="A76" t="str">
        <f>IF(Sheet1!A79="","",Sheet1!A79)</f>
        <v xml:space="preserve">  17.30  West Bromwich Albion FC  0-0  Burnley FC</v>
      </c>
      <c r="C76">
        <f t="shared" si="12"/>
        <v>31</v>
      </c>
      <c r="D76">
        <f t="shared" si="10"/>
        <v>36</v>
      </c>
      <c r="E76">
        <f t="shared" si="13"/>
        <v>48</v>
      </c>
      <c r="F76" t="str">
        <f t="shared" si="14"/>
        <v>17.30</v>
      </c>
      <c r="G76" t="str">
        <f t="shared" si="15"/>
        <v>West Bromwich Albion FC</v>
      </c>
      <c r="H76" t="str">
        <f t="shared" si="16"/>
        <v>0-0</v>
      </c>
      <c r="I76" t="str">
        <f t="shared" si="11"/>
        <v>Bur</v>
      </c>
      <c r="J76" t="str">
        <f t="shared" si="17"/>
        <v>y FC</v>
      </c>
      <c r="K76" t="str">
        <f t="shared" si="18"/>
        <v>Matchday 5</v>
      </c>
      <c r="L76" t="str">
        <f t="shared" si="19"/>
        <v>[Mon Oct/19]</v>
      </c>
    </row>
    <row r="77" spans="1:12">
      <c r="A77" t="str">
        <f>IF(Sheet1!A80="","",Sheet1!A80)</f>
        <v xml:space="preserve">  20.00  Leeds United FC          0-1 (0-0)  Wolverhampton Wanderers FC</v>
      </c>
      <c r="C77">
        <f t="shared" si="12"/>
        <v>23</v>
      </c>
      <c r="D77">
        <f t="shared" si="10"/>
        <v>36</v>
      </c>
      <c r="E77">
        <f t="shared" si="13"/>
        <v>70</v>
      </c>
      <c r="F77" t="str">
        <f t="shared" si="14"/>
        <v>20.00</v>
      </c>
      <c r="G77" t="str">
        <f t="shared" si="15"/>
        <v>Leeds United FC</v>
      </c>
      <c r="H77" t="str">
        <f t="shared" si="16"/>
        <v>0-1</v>
      </c>
      <c r="I77" t="str">
        <f t="shared" si="11"/>
        <v>0-0</v>
      </c>
      <c r="J77" t="str">
        <f t="shared" si="17"/>
        <v>Wolverhampton Wanderers FC</v>
      </c>
      <c r="K77" t="str">
        <f t="shared" si="18"/>
        <v>Matchday 5</v>
      </c>
      <c r="L77" t="str">
        <f t="shared" si="19"/>
        <v>[Mon Oct/19]</v>
      </c>
    </row>
    <row r="78" spans="1:12" hidden="1">
      <c r="A78" t="str">
        <f>IF(Sheet1!A81="","",Sheet1!A81)</f>
        <v/>
      </c>
      <c r="C78" t="str">
        <f t="shared" si="12"/>
        <v/>
      </c>
      <c r="D78" t="str">
        <f t="shared" si="10"/>
        <v/>
      </c>
      <c r="E78" t="str">
        <f t="shared" si="13"/>
        <v/>
      </c>
      <c r="F78" t="str">
        <f t="shared" si="14"/>
        <v/>
      </c>
      <c r="G78" t="str">
        <f t="shared" si="15"/>
        <v/>
      </c>
      <c r="H78" t="str">
        <f t="shared" si="16"/>
        <v/>
      </c>
      <c r="I78" t="str">
        <f t="shared" si="11"/>
        <v/>
      </c>
      <c r="J78" t="str">
        <f t="shared" si="17"/>
        <v/>
      </c>
      <c r="K78" t="str">
        <f t="shared" si="18"/>
        <v>Matchday 5</v>
      </c>
      <c r="L78" t="str">
        <f t="shared" si="19"/>
        <v/>
      </c>
    </row>
    <row r="79" spans="1:12" hidden="1">
      <c r="A79" t="str">
        <f>IF(Sheet1!A82="","",Sheet1!A82)</f>
        <v/>
      </c>
      <c r="C79" t="str">
        <f t="shared" si="12"/>
        <v/>
      </c>
      <c r="D79" t="str">
        <f t="shared" si="10"/>
        <v/>
      </c>
      <c r="E79" t="str">
        <f t="shared" si="13"/>
        <v/>
      </c>
      <c r="F79" t="str">
        <f t="shared" si="14"/>
        <v/>
      </c>
      <c r="G79" t="str">
        <f t="shared" si="15"/>
        <v/>
      </c>
      <c r="H79" t="str">
        <f t="shared" si="16"/>
        <v/>
      </c>
      <c r="I79" t="str">
        <f t="shared" si="11"/>
        <v/>
      </c>
      <c r="J79" t="str">
        <f t="shared" si="17"/>
        <v/>
      </c>
      <c r="K79" t="str">
        <f t="shared" si="18"/>
        <v>Matchday 5</v>
      </c>
      <c r="L79" t="str">
        <f t="shared" si="19"/>
        <v/>
      </c>
    </row>
    <row r="80" spans="1:12" hidden="1">
      <c r="A80" t="str">
        <f>IF(Sheet1!A83="","",Sheet1!A83)</f>
        <v>Matchday 6</v>
      </c>
      <c r="C80" t="str">
        <f t="shared" si="12"/>
        <v/>
      </c>
      <c r="D80" t="str">
        <f t="shared" si="10"/>
        <v/>
      </c>
      <c r="E80" t="str">
        <f t="shared" si="13"/>
        <v/>
      </c>
      <c r="F80" t="str">
        <f t="shared" si="14"/>
        <v/>
      </c>
      <c r="G80" t="str">
        <f t="shared" si="15"/>
        <v/>
      </c>
      <c r="H80" t="str">
        <f t="shared" si="16"/>
        <v/>
      </c>
      <c r="I80" t="str">
        <f t="shared" si="11"/>
        <v/>
      </c>
      <c r="J80" t="str">
        <f t="shared" si="17"/>
        <v/>
      </c>
      <c r="K80" t="str">
        <f t="shared" si="18"/>
        <v>Matchday 5</v>
      </c>
      <c r="L80" t="str">
        <f t="shared" si="19"/>
        <v/>
      </c>
    </row>
    <row r="81" spans="1:12" hidden="1">
      <c r="A81" t="str">
        <f>IF(Sheet1!A84="","",Sheet1!A84)</f>
        <v>[Fri Oct/23]</v>
      </c>
      <c r="C81" t="str">
        <f t="shared" si="12"/>
        <v/>
      </c>
      <c r="D81" t="str">
        <f t="shared" si="10"/>
        <v/>
      </c>
      <c r="E81" t="str">
        <f t="shared" si="13"/>
        <v/>
      </c>
      <c r="F81" t="str">
        <f t="shared" si="14"/>
        <v/>
      </c>
      <c r="G81" t="str">
        <f t="shared" si="15"/>
        <v/>
      </c>
      <c r="H81" t="str">
        <f t="shared" si="16"/>
        <v/>
      </c>
      <c r="I81" t="str">
        <f t="shared" si="11"/>
        <v/>
      </c>
      <c r="J81" t="str">
        <f t="shared" si="17"/>
        <v/>
      </c>
      <c r="K81" t="str">
        <f t="shared" si="18"/>
        <v>Matchday 5</v>
      </c>
      <c r="L81" t="str">
        <f t="shared" si="19"/>
        <v/>
      </c>
    </row>
    <row r="82" spans="1:12">
      <c r="A82" t="str">
        <f>IF(Sheet1!A85="","",Sheet1!A85)</f>
        <v xml:space="preserve">  20.00  Aston Villa FC           0-3 (0-0)  Leeds United FC</v>
      </c>
      <c r="C82">
        <f t="shared" si="12"/>
        <v>22</v>
      </c>
      <c r="D82">
        <f t="shared" si="10"/>
        <v>36</v>
      </c>
      <c r="E82">
        <f t="shared" si="13"/>
        <v>59</v>
      </c>
      <c r="F82" t="str">
        <f t="shared" si="14"/>
        <v>20.00</v>
      </c>
      <c r="G82" t="str">
        <f t="shared" si="15"/>
        <v>Aston Villa FC</v>
      </c>
      <c r="H82" t="str">
        <f t="shared" si="16"/>
        <v>0-3</v>
      </c>
      <c r="I82" t="str">
        <f t="shared" si="11"/>
        <v>0-0</v>
      </c>
      <c r="J82" t="str">
        <f t="shared" si="17"/>
        <v>Leeds United FC</v>
      </c>
      <c r="K82" t="str">
        <f t="shared" si="18"/>
        <v>Matchday 6</v>
      </c>
      <c r="L82" t="str">
        <f t="shared" si="19"/>
        <v>[Fri Oct/23]</v>
      </c>
    </row>
    <row r="83" spans="1:12" hidden="1">
      <c r="A83" t="str">
        <f>IF(Sheet1!A86="","",Sheet1!A86)</f>
        <v>[Sat Oct/24]</v>
      </c>
      <c r="C83" t="str">
        <f t="shared" si="12"/>
        <v/>
      </c>
      <c r="D83" t="str">
        <f t="shared" si="10"/>
        <v/>
      </c>
      <c r="E83" t="str">
        <f t="shared" si="13"/>
        <v/>
      </c>
      <c r="F83" t="str">
        <f t="shared" si="14"/>
        <v/>
      </c>
      <c r="G83" t="str">
        <f t="shared" si="15"/>
        <v/>
      </c>
      <c r="H83" t="str">
        <f t="shared" si="16"/>
        <v/>
      </c>
      <c r="I83" t="str">
        <f t="shared" si="11"/>
        <v/>
      </c>
      <c r="J83" t="str">
        <f t="shared" si="17"/>
        <v/>
      </c>
      <c r="K83" t="str">
        <f t="shared" si="18"/>
        <v>Matchday 6</v>
      </c>
      <c r="L83" t="str">
        <f t="shared" si="19"/>
        <v/>
      </c>
    </row>
    <row r="84" spans="1:12">
      <c r="A84" t="str">
        <f>IF(Sheet1!A87="","",Sheet1!A87)</f>
        <v xml:space="preserve">  12.30  West Ham United FC       1-1 (1-0)  Manchester City FC</v>
      </c>
      <c r="C84">
        <f t="shared" si="12"/>
        <v>26</v>
      </c>
      <c r="D84">
        <f t="shared" si="10"/>
        <v>36</v>
      </c>
      <c r="E84">
        <f t="shared" si="13"/>
        <v>62</v>
      </c>
      <c r="F84" t="str">
        <f t="shared" si="14"/>
        <v>12.30</v>
      </c>
      <c r="G84" t="str">
        <f t="shared" si="15"/>
        <v>West Ham United FC</v>
      </c>
      <c r="H84" t="str">
        <f t="shared" si="16"/>
        <v>1-1</v>
      </c>
      <c r="I84" t="str">
        <f t="shared" si="11"/>
        <v>1-0</v>
      </c>
      <c r="J84" t="str">
        <f t="shared" si="17"/>
        <v>Manchester City FC</v>
      </c>
      <c r="K84" t="str">
        <f t="shared" si="18"/>
        <v>Matchday 6</v>
      </c>
      <c r="L84" t="str">
        <f t="shared" si="19"/>
        <v>[Sat Oct/24]</v>
      </c>
    </row>
    <row r="85" spans="1:12">
      <c r="A85" t="str">
        <f>IF(Sheet1!A88="","",Sheet1!A88)</f>
        <v xml:space="preserve">  15.00  Fulham FC                1-2 (0-1)  Crystal Palace FC</v>
      </c>
      <c r="C85">
        <f t="shared" si="12"/>
        <v>17</v>
      </c>
      <c r="D85">
        <f t="shared" si="10"/>
        <v>36</v>
      </c>
      <c r="E85">
        <f t="shared" si="13"/>
        <v>61</v>
      </c>
      <c r="F85" t="str">
        <f t="shared" si="14"/>
        <v>15.00</v>
      </c>
      <c r="G85" t="str">
        <f t="shared" si="15"/>
        <v>Fulham FC</v>
      </c>
      <c r="H85" t="str">
        <f t="shared" si="16"/>
        <v>1-2</v>
      </c>
      <c r="I85" t="str">
        <f t="shared" si="11"/>
        <v>0-1</v>
      </c>
      <c r="J85" t="str">
        <f t="shared" si="17"/>
        <v>Crystal Palace FC</v>
      </c>
      <c r="K85" t="str">
        <f t="shared" si="18"/>
        <v>Matchday 6</v>
      </c>
      <c r="L85" t="str">
        <f t="shared" si="19"/>
        <v>[Sat Oct/24]</v>
      </c>
    </row>
    <row r="86" spans="1:12">
      <c r="A86" t="str">
        <f>IF(Sheet1!A89="","",Sheet1!A89)</f>
        <v xml:space="preserve">  17.30  Manchester United        0-0  Chelsea FC</v>
      </c>
      <c r="C86">
        <f t="shared" si="12"/>
        <v>28</v>
      </c>
      <c r="D86">
        <f t="shared" si="10"/>
        <v>36</v>
      </c>
      <c r="E86">
        <f t="shared" si="13"/>
        <v>51</v>
      </c>
      <c r="F86" t="str">
        <f t="shared" si="14"/>
        <v>17.30</v>
      </c>
      <c r="G86" t="str">
        <f t="shared" si="15"/>
        <v xml:space="preserve">Manchester United   </v>
      </c>
      <c r="H86" t="str">
        <f t="shared" si="16"/>
        <v>0-0</v>
      </c>
      <c r="I86" t="str">
        <f t="shared" si="11"/>
        <v>Che</v>
      </c>
      <c r="J86" t="str">
        <f t="shared" si="17"/>
        <v>a FC</v>
      </c>
      <c r="K86" t="str">
        <f t="shared" si="18"/>
        <v>Matchday 6</v>
      </c>
      <c r="L86" t="str">
        <f t="shared" si="19"/>
        <v>[Sat Oct/24]</v>
      </c>
    </row>
    <row r="87" spans="1:12">
      <c r="A87" t="str">
        <f>IF(Sheet1!A90="","",Sheet1!A90)</f>
        <v xml:space="preserve">  20.00  Liverpool FC             2-1 (1-1)  Sheffield United FC</v>
      </c>
      <c r="C87">
        <f t="shared" si="12"/>
        <v>20</v>
      </c>
      <c r="D87">
        <f t="shared" si="10"/>
        <v>36</v>
      </c>
      <c r="E87">
        <f t="shared" si="13"/>
        <v>63</v>
      </c>
      <c r="F87" t="str">
        <f t="shared" si="14"/>
        <v>20.00</v>
      </c>
      <c r="G87" t="str">
        <f t="shared" si="15"/>
        <v>Liverpool FC</v>
      </c>
      <c r="H87" t="str">
        <f t="shared" si="16"/>
        <v>2-1</v>
      </c>
      <c r="I87" t="str">
        <f t="shared" si="11"/>
        <v>1-1</v>
      </c>
      <c r="J87" t="str">
        <f t="shared" si="17"/>
        <v>Sheffield United FC</v>
      </c>
      <c r="K87" t="str">
        <f t="shared" si="18"/>
        <v>Matchday 6</v>
      </c>
      <c r="L87" t="str">
        <f t="shared" si="19"/>
        <v>[Sat Oct/24]</v>
      </c>
    </row>
    <row r="88" spans="1:12" hidden="1">
      <c r="A88" t="str">
        <f>IF(Sheet1!A91="","",Sheet1!A91)</f>
        <v>[Sun Oct/25]</v>
      </c>
      <c r="C88" t="str">
        <f t="shared" si="12"/>
        <v/>
      </c>
      <c r="D88" t="str">
        <f t="shared" si="10"/>
        <v/>
      </c>
      <c r="E88" t="str">
        <f t="shared" si="13"/>
        <v/>
      </c>
      <c r="F88" t="str">
        <f t="shared" si="14"/>
        <v/>
      </c>
      <c r="G88" t="str">
        <f t="shared" si="15"/>
        <v/>
      </c>
      <c r="H88" t="str">
        <f t="shared" si="16"/>
        <v/>
      </c>
      <c r="I88" t="str">
        <f t="shared" si="11"/>
        <v/>
      </c>
      <c r="J88" t="str">
        <f t="shared" si="17"/>
        <v/>
      </c>
      <c r="K88" t="str">
        <f t="shared" si="18"/>
        <v>Matchday 6</v>
      </c>
      <c r="L88" t="str">
        <f t="shared" si="19"/>
        <v/>
      </c>
    </row>
    <row r="89" spans="1:12">
      <c r="A89" t="str">
        <f>IF(Sheet1!A92="","",Sheet1!A92)</f>
        <v xml:space="preserve">  14.00  Southampton FC           2-0 (2-0)  Everton FC</v>
      </c>
      <c r="C89">
        <f t="shared" si="12"/>
        <v>22</v>
      </c>
      <c r="D89">
        <f t="shared" si="10"/>
        <v>36</v>
      </c>
      <c r="E89">
        <f t="shared" si="13"/>
        <v>54</v>
      </c>
      <c r="F89" t="str">
        <f t="shared" si="14"/>
        <v>14.00</v>
      </c>
      <c r="G89" t="str">
        <f t="shared" si="15"/>
        <v>Southampton FC</v>
      </c>
      <c r="H89" t="str">
        <f t="shared" si="16"/>
        <v>2-0</v>
      </c>
      <c r="I89" t="str">
        <f t="shared" si="11"/>
        <v>2-0</v>
      </c>
      <c r="J89" t="str">
        <f t="shared" si="17"/>
        <v>Everton FC</v>
      </c>
      <c r="K89" t="str">
        <f t="shared" si="18"/>
        <v>Matchday 6</v>
      </c>
      <c r="L89" t="str">
        <f t="shared" si="19"/>
        <v>[Sun Oct/25]</v>
      </c>
    </row>
    <row r="90" spans="1:12">
      <c r="A90" t="str">
        <f>IF(Sheet1!A93="","",Sheet1!A93)</f>
        <v xml:space="preserve">  16.30  Wolverhampton Wanderers FC  1-1 (0-0)  Newcastle United FC</v>
      </c>
      <c r="C90">
        <f t="shared" si="12"/>
        <v>34</v>
      </c>
      <c r="D90">
        <f t="shared" si="10"/>
        <v>39</v>
      </c>
      <c r="E90">
        <f t="shared" si="13"/>
        <v>66</v>
      </c>
      <c r="F90" t="str">
        <f t="shared" si="14"/>
        <v>16.30</v>
      </c>
      <c r="G90" t="str">
        <f t="shared" si="15"/>
        <v>Wolverhampton Wanderers FC</v>
      </c>
      <c r="H90" t="str">
        <f t="shared" si="16"/>
        <v>1-1</v>
      </c>
      <c r="I90" t="str">
        <f t="shared" si="11"/>
        <v>0-0</v>
      </c>
      <c r="J90" t="str">
        <f t="shared" si="17"/>
        <v>Newcastle United FC</v>
      </c>
      <c r="K90" t="str">
        <f t="shared" si="18"/>
        <v>Matchday 6</v>
      </c>
      <c r="L90" t="str">
        <f t="shared" si="19"/>
        <v>[Sun Oct/25]</v>
      </c>
    </row>
    <row r="91" spans="1:12">
      <c r="A91" t="str">
        <f>IF(Sheet1!A94="","",Sheet1!A94)</f>
        <v xml:space="preserve">  19.15  Arsenal FC               0-1 (0-0)  Leicester City FC</v>
      </c>
      <c r="C91">
        <f t="shared" si="12"/>
        <v>18</v>
      </c>
      <c r="D91">
        <f t="shared" si="10"/>
        <v>36</v>
      </c>
      <c r="E91">
        <f t="shared" si="13"/>
        <v>61</v>
      </c>
      <c r="F91" t="str">
        <f t="shared" si="14"/>
        <v>19.15</v>
      </c>
      <c r="G91" t="str">
        <f t="shared" si="15"/>
        <v>Arsenal FC</v>
      </c>
      <c r="H91" t="str">
        <f t="shared" si="16"/>
        <v>0-1</v>
      </c>
      <c r="I91" t="str">
        <f t="shared" si="11"/>
        <v>0-0</v>
      </c>
      <c r="J91" t="str">
        <f t="shared" si="17"/>
        <v>Leicester City FC</v>
      </c>
      <c r="K91" t="str">
        <f t="shared" si="18"/>
        <v>Matchday 6</v>
      </c>
      <c r="L91" t="str">
        <f t="shared" si="19"/>
        <v>[Sun Oct/25]</v>
      </c>
    </row>
    <row r="92" spans="1:12" hidden="1">
      <c r="A92" t="str">
        <f>IF(Sheet1!A95="","",Sheet1!A95)</f>
        <v>[Mon Oct/26]</v>
      </c>
      <c r="C92" t="str">
        <f t="shared" si="12"/>
        <v/>
      </c>
      <c r="D92" t="str">
        <f t="shared" si="10"/>
        <v/>
      </c>
      <c r="E92" t="str">
        <f t="shared" si="13"/>
        <v/>
      </c>
      <c r="F92" t="str">
        <f t="shared" si="14"/>
        <v/>
      </c>
      <c r="G92" t="str">
        <f t="shared" si="15"/>
        <v/>
      </c>
      <c r="H92" t="str">
        <f t="shared" si="16"/>
        <v/>
      </c>
      <c r="I92" t="str">
        <f t="shared" si="11"/>
        <v/>
      </c>
      <c r="J92" t="str">
        <f t="shared" si="17"/>
        <v/>
      </c>
      <c r="K92" t="str">
        <f t="shared" si="18"/>
        <v>Matchday 6</v>
      </c>
      <c r="L92" t="str">
        <f t="shared" si="19"/>
        <v/>
      </c>
    </row>
    <row r="93" spans="1:12">
      <c r="A93" t="str">
        <f>IF(Sheet1!A96="","",Sheet1!A96)</f>
        <v xml:space="preserve">  17.30  Brighton &amp; Hove Albion FC  1-1 (1-0)  West Bromwich Albion FC</v>
      </c>
      <c r="C93">
        <f t="shared" si="12"/>
        <v>33</v>
      </c>
      <c r="D93">
        <f t="shared" si="10"/>
        <v>38</v>
      </c>
      <c r="E93">
        <f t="shared" si="13"/>
        <v>69</v>
      </c>
      <c r="F93" t="str">
        <f t="shared" si="14"/>
        <v>17.30</v>
      </c>
      <c r="G93" t="str">
        <f t="shared" si="15"/>
        <v>Brighton &amp; Hove Albion FC</v>
      </c>
      <c r="H93" t="str">
        <f t="shared" si="16"/>
        <v>1-1</v>
      </c>
      <c r="I93" t="str">
        <f t="shared" si="11"/>
        <v>1-0</v>
      </c>
      <c r="J93" t="str">
        <f t="shared" si="17"/>
        <v>West Bromwich Albion FC</v>
      </c>
      <c r="K93" t="str">
        <f t="shared" si="18"/>
        <v>Matchday 6</v>
      </c>
      <c r="L93" t="str">
        <f t="shared" si="19"/>
        <v>[Mon Oct/26]</v>
      </c>
    </row>
    <row r="94" spans="1:12">
      <c r="A94" t="str">
        <f>IF(Sheet1!A97="","",Sheet1!A97)</f>
        <v xml:space="preserve">  20.00  Burnley FC               0-1 (0-0)  Tottenham Hotspur FC</v>
      </c>
      <c r="C94">
        <f t="shared" si="12"/>
        <v>18</v>
      </c>
      <c r="D94">
        <f t="shared" si="10"/>
        <v>36</v>
      </c>
      <c r="E94">
        <f t="shared" si="13"/>
        <v>64</v>
      </c>
      <c r="F94" t="str">
        <f t="shared" si="14"/>
        <v>20.00</v>
      </c>
      <c r="G94" t="str">
        <f t="shared" si="15"/>
        <v>Burnley FC</v>
      </c>
      <c r="H94" t="str">
        <f t="shared" si="16"/>
        <v>0-1</v>
      </c>
      <c r="I94" t="str">
        <f t="shared" si="11"/>
        <v>0-0</v>
      </c>
      <c r="J94" t="str">
        <f t="shared" si="17"/>
        <v>Tottenham Hotspur FC</v>
      </c>
      <c r="K94" t="str">
        <f t="shared" si="18"/>
        <v>Matchday 6</v>
      </c>
      <c r="L94" t="str">
        <f t="shared" si="19"/>
        <v>[Mon Oct/26]</v>
      </c>
    </row>
    <row r="95" spans="1:12" hidden="1">
      <c r="A95" t="str">
        <f>IF(Sheet1!A98="","",Sheet1!A98)</f>
        <v/>
      </c>
      <c r="C95" t="str">
        <f t="shared" si="12"/>
        <v/>
      </c>
      <c r="D95" t="str">
        <f t="shared" si="10"/>
        <v/>
      </c>
      <c r="E95" t="str">
        <f t="shared" si="13"/>
        <v/>
      </c>
      <c r="F95" t="str">
        <f t="shared" si="14"/>
        <v/>
      </c>
      <c r="G95" t="str">
        <f t="shared" si="15"/>
        <v/>
      </c>
      <c r="H95" t="str">
        <f t="shared" si="16"/>
        <v/>
      </c>
      <c r="I95" t="str">
        <f t="shared" si="11"/>
        <v/>
      </c>
      <c r="J95" t="str">
        <f t="shared" si="17"/>
        <v/>
      </c>
      <c r="K95" t="str">
        <f t="shared" si="18"/>
        <v>Matchday 6</v>
      </c>
      <c r="L95" t="str">
        <f t="shared" si="19"/>
        <v/>
      </c>
    </row>
    <row r="96" spans="1:12" hidden="1">
      <c r="A96" t="str">
        <f>IF(Sheet1!A99="","",Sheet1!A99)</f>
        <v/>
      </c>
      <c r="C96" t="str">
        <f t="shared" si="12"/>
        <v/>
      </c>
      <c r="D96" t="str">
        <f t="shared" si="10"/>
        <v/>
      </c>
      <c r="E96" t="str">
        <f t="shared" si="13"/>
        <v/>
      </c>
      <c r="F96" t="str">
        <f t="shared" si="14"/>
        <v/>
      </c>
      <c r="G96" t="str">
        <f t="shared" si="15"/>
        <v/>
      </c>
      <c r="H96" t="str">
        <f t="shared" si="16"/>
        <v/>
      </c>
      <c r="I96" t="str">
        <f t="shared" si="11"/>
        <v/>
      </c>
      <c r="J96" t="str">
        <f t="shared" si="17"/>
        <v/>
      </c>
      <c r="K96" t="str">
        <f t="shared" si="18"/>
        <v>Matchday 6</v>
      </c>
      <c r="L96" t="str">
        <f t="shared" si="19"/>
        <v/>
      </c>
    </row>
    <row r="97" spans="1:12" hidden="1">
      <c r="A97" t="str">
        <f>IF(Sheet1!A100="","",Sheet1!A100)</f>
        <v>Matchday 7</v>
      </c>
      <c r="C97" t="str">
        <f t="shared" si="12"/>
        <v/>
      </c>
      <c r="D97" t="str">
        <f t="shared" si="10"/>
        <v/>
      </c>
      <c r="E97" t="str">
        <f t="shared" si="13"/>
        <v/>
      </c>
      <c r="F97" t="str">
        <f t="shared" si="14"/>
        <v/>
      </c>
      <c r="G97" t="str">
        <f t="shared" si="15"/>
        <v/>
      </c>
      <c r="H97" t="str">
        <f t="shared" si="16"/>
        <v/>
      </c>
      <c r="I97" t="str">
        <f t="shared" si="11"/>
        <v/>
      </c>
      <c r="J97" t="str">
        <f t="shared" si="17"/>
        <v/>
      </c>
      <c r="K97" t="str">
        <f t="shared" si="18"/>
        <v>Matchday 6</v>
      </c>
      <c r="L97" t="str">
        <f t="shared" si="19"/>
        <v/>
      </c>
    </row>
    <row r="98" spans="1:12" hidden="1">
      <c r="A98" t="str">
        <f>IF(Sheet1!A101="","",Sheet1!A101)</f>
        <v>[Fri Oct/30]</v>
      </c>
      <c r="C98" t="str">
        <f t="shared" si="12"/>
        <v/>
      </c>
      <c r="D98" t="str">
        <f t="shared" si="10"/>
        <v/>
      </c>
      <c r="E98" t="str">
        <f t="shared" si="13"/>
        <v/>
      </c>
      <c r="F98" t="str">
        <f t="shared" si="14"/>
        <v/>
      </c>
      <c r="G98" t="str">
        <f t="shared" si="15"/>
        <v/>
      </c>
      <c r="H98" t="str">
        <f t="shared" si="16"/>
        <v/>
      </c>
      <c r="I98" t="str">
        <f t="shared" si="11"/>
        <v/>
      </c>
      <c r="J98" t="str">
        <f t="shared" si="17"/>
        <v/>
      </c>
      <c r="K98" t="str">
        <f t="shared" si="18"/>
        <v>Matchday 6</v>
      </c>
      <c r="L98" t="str">
        <f t="shared" si="19"/>
        <v/>
      </c>
    </row>
    <row r="99" spans="1:12">
      <c r="A99" t="str">
        <f>IF(Sheet1!A102="","",Sheet1!A102)</f>
        <v xml:space="preserve">  20.00  Wolverhampton Wanderers FC  2-0 (2-0)  Crystal Palace FC</v>
      </c>
      <c r="C99">
        <f t="shared" si="12"/>
        <v>34</v>
      </c>
      <c r="D99">
        <f t="shared" si="10"/>
        <v>39</v>
      </c>
      <c r="E99">
        <f t="shared" si="13"/>
        <v>64</v>
      </c>
      <c r="F99" t="str">
        <f t="shared" si="14"/>
        <v>20.00</v>
      </c>
      <c r="G99" t="str">
        <f t="shared" si="15"/>
        <v>Wolverhampton Wanderers FC</v>
      </c>
      <c r="H99" t="str">
        <f t="shared" si="16"/>
        <v>2-0</v>
      </c>
      <c r="I99" t="str">
        <f t="shared" si="11"/>
        <v>2-0</v>
      </c>
      <c r="J99" t="str">
        <f t="shared" si="17"/>
        <v>Crystal Palace FC</v>
      </c>
      <c r="K99" t="str">
        <f t="shared" si="18"/>
        <v>Matchday 7</v>
      </c>
      <c r="L99" t="str">
        <f t="shared" si="19"/>
        <v>[Fri Oct/30]</v>
      </c>
    </row>
    <row r="100" spans="1:12" hidden="1">
      <c r="A100" t="str">
        <f>IF(Sheet1!A103="","",Sheet1!A103)</f>
        <v>[Sat Oct/31]</v>
      </c>
      <c r="C100" t="str">
        <f t="shared" si="12"/>
        <v/>
      </c>
      <c r="D100" t="str">
        <f t="shared" si="10"/>
        <v/>
      </c>
      <c r="E100" t="str">
        <f t="shared" si="13"/>
        <v/>
      </c>
      <c r="F100" t="str">
        <f t="shared" si="14"/>
        <v/>
      </c>
      <c r="G100" t="str">
        <f t="shared" si="15"/>
        <v/>
      </c>
      <c r="H100" t="str">
        <f t="shared" si="16"/>
        <v/>
      </c>
      <c r="I100" t="str">
        <f t="shared" si="11"/>
        <v/>
      </c>
      <c r="J100" t="str">
        <f t="shared" si="17"/>
        <v/>
      </c>
      <c r="K100" t="str">
        <f t="shared" si="18"/>
        <v>Matchday 7</v>
      </c>
      <c r="L100" t="str">
        <f t="shared" si="19"/>
        <v/>
      </c>
    </row>
    <row r="101" spans="1:12">
      <c r="A101" t="str">
        <f>IF(Sheet1!A104="","",Sheet1!A104)</f>
        <v xml:space="preserve">  12.30  Sheffield United FC      0-1 (0-1)  Manchester City FC</v>
      </c>
      <c r="C101">
        <f t="shared" si="12"/>
        <v>27</v>
      </c>
      <c r="D101">
        <f t="shared" si="10"/>
        <v>36</v>
      </c>
      <c r="E101">
        <f t="shared" si="13"/>
        <v>62</v>
      </c>
      <c r="F101" t="str">
        <f t="shared" si="14"/>
        <v>12.30</v>
      </c>
      <c r="G101" t="str">
        <f t="shared" si="15"/>
        <v>Sheffield United FC</v>
      </c>
      <c r="H101" t="str">
        <f t="shared" si="16"/>
        <v>0-1</v>
      </c>
      <c r="I101" t="str">
        <f t="shared" si="11"/>
        <v>0-1</v>
      </c>
      <c r="J101" t="str">
        <f t="shared" si="17"/>
        <v>Manchester City FC</v>
      </c>
      <c r="K101" t="str">
        <f t="shared" si="18"/>
        <v>Matchday 7</v>
      </c>
      <c r="L101" t="str">
        <f t="shared" si="19"/>
        <v>[Sat Oct/31]</v>
      </c>
    </row>
    <row r="102" spans="1:12">
      <c r="A102" t="str">
        <f>IF(Sheet1!A105="","",Sheet1!A105)</f>
        <v xml:space="preserve">  15.00  Burnley FC               0-3 (0-1)  Chelsea FC</v>
      </c>
      <c r="C102">
        <f t="shared" si="12"/>
        <v>18</v>
      </c>
      <c r="D102">
        <f t="shared" si="10"/>
        <v>36</v>
      </c>
      <c r="E102">
        <f t="shared" si="13"/>
        <v>54</v>
      </c>
      <c r="F102" t="str">
        <f t="shared" si="14"/>
        <v>15.00</v>
      </c>
      <c r="G102" t="str">
        <f t="shared" si="15"/>
        <v>Burnley FC</v>
      </c>
      <c r="H102" t="str">
        <f t="shared" si="16"/>
        <v>0-3</v>
      </c>
      <c r="I102" t="str">
        <f t="shared" si="11"/>
        <v>0-1</v>
      </c>
      <c r="J102" t="str">
        <f t="shared" si="17"/>
        <v>Chelsea FC</v>
      </c>
      <c r="K102" t="str">
        <f t="shared" si="18"/>
        <v>Matchday 7</v>
      </c>
      <c r="L102" t="str">
        <f t="shared" si="19"/>
        <v>[Sat Oct/31]</v>
      </c>
    </row>
    <row r="103" spans="1:12">
      <c r="A103" t="str">
        <f>IF(Sheet1!A106="","",Sheet1!A106)</f>
        <v xml:space="preserve">  17.30  Liverpool FC             2-1 (1-1)  West Ham United FC</v>
      </c>
      <c r="C103">
        <f t="shared" si="12"/>
        <v>20</v>
      </c>
      <c r="D103">
        <f t="shared" si="10"/>
        <v>36</v>
      </c>
      <c r="E103">
        <f t="shared" si="13"/>
        <v>62</v>
      </c>
      <c r="F103" t="str">
        <f t="shared" si="14"/>
        <v>17.30</v>
      </c>
      <c r="G103" t="str">
        <f t="shared" si="15"/>
        <v>Liverpool FC</v>
      </c>
      <c r="H103" t="str">
        <f t="shared" si="16"/>
        <v>2-1</v>
      </c>
      <c r="I103" t="str">
        <f t="shared" si="11"/>
        <v>1-1</v>
      </c>
      <c r="J103" t="str">
        <f t="shared" si="17"/>
        <v>West Ham United FC</v>
      </c>
      <c r="K103" t="str">
        <f t="shared" si="18"/>
        <v>Matchday 7</v>
      </c>
      <c r="L103" t="str">
        <f t="shared" si="19"/>
        <v>[Sat Oct/31]</v>
      </c>
    </row>
    <row r="104" spans="1:12" hidden="1">
      <c r="A104" t="str">
        <f>IF(Sheet1!A107="","",Sheet1!A107)</f>
        <v>[Sun Nov/1]</v>
      </c>
      <c r="C104" t="str">
        <f t="shared" si="12"/>
        <v/>
      </c>
      <c r="D104" t="str">
        <f t="shared" si="10"/>
        <v/>
      </c>
      <c r="E104" t="str">
        <f t="shared" si="13"/>
        <v/>
      </c>
      <c r="F104" t="str">
        <f t="shared" si="14"/>
        <v/>
      </c>
      <c r="G104" t="str">
        <f t="shared" si="15"/>
        <v/>
      </c>
      <c r="H104" t="str">
        <f t="shared" si="16"/>
        <v/>
      </c>
      <c r="I104" t="str">
        <f t="shared" si="11"/>
        <v/>
      </c>
      <c r="J104" t="str">
        <f t="shared" si="17"/>
        <v/>
      </c>
      <c r="K104" t="str">
        <f t="shared" si="18"/>
        <v>Matchday 7</v>
      </c>
      <c r="L104" t="str">
        <f t="shared" si="19"/>
        <v/>
      </c>
    </row>
    <row r="105" spans="1:12">
      <c r="A105" t="str">
        <f>IF(Sheet1!A108="","",Sheet1!A108)</f>
        <v xml:space="preserve">  12.00  Aston Villa FC           3-4 (0-3)  Southampton FC</v>
      </c>
      <c r="C105">
        <f t="shared" si="12"/>
        <v>22</v>
      </c>
      <c r="D105">
        <f t="shared" si="10"/>
        <v>36</v>
      </c>
      <c r="E105">
        <f t="shared" si="13"/>
        <v>58</v>
      </c>
      <c r="F105" t="str">
        <f t="shared" si="14"/>
        <v>12.00</v>
      </c>
      <c r="G105" t="str">
        <f t="shared" si="15"/>
        <v>Aston Villa FC</v>
      </c>
      <c r="H105" t="str">
        <f t="shared" si="16"/>
        <v>3-4</v>
      </c>
      <c r="I105" t="str">
        <f t="shared" si="11"/>
        <v>0-3</v>
      </c>
      <c r="J105" t="str">
        <f t="shared" si="17"/>
        <v>Southampton FC</v>
      </c>
      <c r="K105" t="str">
        <f t="shared" si="18"/>
        <v>Matchday 7</v>
      </c>
      <c r="L105" t="str">
        <f t="shared" si="19"/>
        <v>[Sun Nov/1]</v>
      </c>
    </row>
    <row r="106" spans="1:12">
      <c r="A106" t="str">
        <f>IF(Sheet1!A109="","",Sheet1!A109)</f>
        <v xml:space="preserve">  14.00  Newcastle United FC      2-1 (0-0)  Everton FC</v>
      </c>
      <c r="C106">
        <f t="shared" si="12"/>
        <v>27</v>
      </c>
      <c r="D106">
        <f t="shared" si="10"/>
        <v>36</v>
      </c>
      <c r="E106">
        <f t="shared" si="13"/>
        <v>54</v>
      </c>
      <c r="F106" t="str">
        <f t="shared" si="14"/>
        <v>14.00</v>
      </c>
      <c r="G106" t="str">
        <f t="shared" si="15"/>
        <v>Newcastle United FC</v>
      </c>
      <c r="H106" t="str">
        <f t="shared" si="16"/>
        <v>2-1</v>
      </c>
      <c r="I106" t="str">
        <f t="shared" si="11"/>
        <v>0-0</v>
      </c>
      <c r="J106" t="str">
        <f t="shared" si="17"/>
        <v>Everton FC</v>
      </c>
      <c r="K106" t="str">
        <f t="shared" si="18"/>
        <v>Matchday 7</v>
      </c>
      <c r="L106" t="str">
        <f t="shared" si="19"/>
        <v>[Sun Nov/1]</v>
      </c>
    </row>
    <row r="107" spans="1:12">
      <c r="A107" t="str">
        <f>IF(Sheet1!A110="","",Sheet1!A110)</f>
        <v xml:space="preserve">  16.30  Manchester United        0-1 (0-0)  Arsenal FC</v>
      </c>
      <c r="C107">
        <f t="shared" si="12"/>
        <v>28</v>
      </c>
      <c r="D107">
        <f t="shared" si="10"/>
        <v>36</v>
      </c>
      <c r="E107">
        <f t="shared" si="13"/>
        <v>57</v>
      </c>
      <c r="F107" t="str">
        <f t="shared" si="14"/>
        <v>16.30</v>
      </c>
      <c r="G107" t="str">
        <f t="shared" si="15"/>
        <v xml:space="preserve">Manchester United   </v>
      </c>
      <c r="H107" t="str">
        <f t="shared" si="16"/>
        <v>0-1</v>
      </c>
      <c r="I107" t="str">
        <f t="shared" si="11"/>
        <v>0-0</v>
      </c>
      <c r="J107" t="str">
        <f t="shared" si="17"/>
        <v>Arsenal FC</v>
      </c>
      <c r="K107" t="str">
        <f t="shared" si="18"/>
        <v>Matchday 7</v>
      </c>
      <c r="L107" t="str">
        <f t="shared" si="19"/>
        <v>[Sun Nov/1]</v>
      </c>
    </row>
    <row r="108" spans="1:12">
      <c r="A108" t="str">
        <f>IF(Sheet1!A111="","",Sheet1!A111)</f>
        <v xml:space="preserve">  19.15  Tottenham Hotspur FC     2-1 (1-0)  Brighton &amp; Hove Albion FC</v>
      </c>
      <c r="C108">
        <f t="shared" si="12"/>
        <v>28</v>
      </c>
      <c r="D108">
        <f t="shared" si="10"/>
        <v>36</v>
      </c>
      <c r="E108">
        <f t="shared" si="13"/>
        <v>69</v>
      </c>
      <c r="F108" t="str">
        <f t="shared" si="14"/>
        <v>19.15</v>
      </c>
      <c r="G108" t="str">
        <f t="shared" si="15"/>
        <v>Tottenham Hotspur FC</v>
      </c>
      <c r="H108" t="str">
        <f t="shared" si="16"/>
        <v>2-1</v>
      </c>
      <c r="I108" t="str">
        <f t="shared" si="11"/>
        <v>1-0</v>
      </c>
      <c r="J108" t="str">
        <f t="shared" si="17"/>
        <v>Brighton &amp; Hove Albion FC</v>
      </c>
      <c r="K108" t="str">
        <f t="shared" si="18"/>
        <v>Matchday 7</v>
      </c>
      <c r="L108" t="str">
        <f t="shared" si="19"/>
        <v>[Sun Nov/1]</v>
      </c>
    </row>
    <row r="109" spans="1:12" hidden="1">
      <c r="A109" t="str">
        <f>IF(Sheet1!A112="","",Sheet1!A112)</f>
        <v>[Mon Nov/2]</v>
      </c>
      <c r="C109" t="str">
        <f t="shared" si="12"/>
        <v/>
      </c>
      <c r="D109" t="str">
        <f t="shared" si="10"/>
        <v/>
      </c>
      <c r="E109" t="str">
        <f t="shared" si="13"/>
        <v/>
      </c>
      <c r="F109" t="str">
        <f t="shared" si="14"/>
        <v/>
      </c>
      <c r="G109" t="str">
        <f t="shared" si="15"/>
        <v/>
      </c>
      <c r="H109" t="str">
        <f t="shared" si="16"/>
        <v/>
      </c>
      <c r="I109" t="str">
        <f t="shared" si="11"/>
        <v/>
      </c>
      <c r="J109" t="str">
        <f t="shared" si="17"/>
        <v/>
      </c>
      <c r="K109" t="str">
        <f t="shared" si="18"/>
        <v>Matchday 7</v>
      </c>
      <c r="L109" t="str">
        <f t="shared" si="19"/>
        <v/>
      </c>
    </row>
    <row r="110" spans="1:12">
      <c r="A110" t="str">
        <f>IF(Sheet1!A113="","",Sheet1!A113)</f>
        <v xml:space="preserve">  17.30  Fulham FC                2-0 (2-0)  West Bromwich Albion FC</v>
      </c>
      <c r="C110">
        <f t="shared" si="12"/>
        <v>17</v>
      </c>
      <c r="D110">
        <f t="shared" si="10"/>
        <v>36</v>
      </c>
      <c r="E110">
        <f t="shared" si="13"/>
        <v>67</v>
      </c>
      <c r="F110" t="str">
        <f t="shared" si="14"/>
        <v>17.30</v>
      </c>
      <c r="G110" t="str">
        <f t="shared" si="15"/>
        <v>Fulham FC</v>
      </c>
      <c r="H110" t="str">
        <f t="shared" si="16"/>
        <v>2-0</v>
      </c>
      <c r="I110" t="str">
        <f t="shared" si="11"/>
        <v>2-0</v>
      </c>
      <c r="J110" t="str">
        <f t="shared" si="17"/>
        <v>West Bromwich Albion FC</v>
      </c>
      <c r="K110" t="str">
        <f t="shared" si="18"/>
        <v>Matchday 7</v>
      </c>
      <c r="L110" t="str">
        <f t="shared" si="19"/>
        <v>[Mon Nov/2]</v>
      </c>
    </row>
    <row r="111" spans="1:12">
      <c r="A111" t="str">
        <f>IF(Sheet1!A114="","",Sheet1!A114)</f>
        <v xml:space="preserve">  20.00  Leeds United FC          1-4 (0-2)  Leicester City FC</v>
      </c>
      <c r="C111">
        <f t="shared" si="12"/>
        <v>23</v>
      </c>
      <c r="D111">
        <f t="shared" si="10"/>
        <v>36</v>
      </c>
      <c r="E111">
        <f t="shared" si="13"/>
        <v>61</v>
      </c>
      <c r="F111" t="str">
        <f t="shared" si="14"/>
        <v>20.00</v>
      </c>
      <c r="G111" t="str">
        <f t="shared" si="15"/>
        <v>Leeds United FC</v>
      </c>
      <c r="H111" t="str">
        <f t="shared" si="16"/>
        <v>1-4</v>
      </c>
      <c r="I111" t="str">
        <f t="shared" si="11"/>
        <v>0-2</v>
      </c>
      <c r="J111" t="str">
        <f t="shared" si="17"/>
        <v>Leicester City FC</v>
      </c>
      <c r="K111" t="str">
        <f t="shared" si="18"/>
        <v>Matchday 7</v>
      </c>
      <c r="L111" t="str">
        <f t="shared" si="19"/>
        <v>[Mon Nov/2]</v>
      </c>
    </row>
    <row r="112" spans="1:12" hidden="1">
      <c r="A112" t="str">
        <f>IF(Sheet1!A115="","",Sheet1!A115)</f>
        <v/>
      </c>
      <c r="C112" t="str">
        <f t="shared" si="12"/>
        <v/>
      </c>
      <c r="D112" t="str">
        <f t="shared" si="10"/>
        <v/>
      </c>
      <c r="E112" t="str">
        <f t="shared" si="13"/>
        <v/>
      </c>
      <c r="F112" t="str">
        <f t="shared" si="14"/>
        <v/>
      </c>
      <c r="G112" t="str">
        <f t="shared" si="15"/>
        <v/>
      </c>
      <c r="H112" t="str">
        <f t="shared" si="16"/>
        <v/>
      </c>
      <c r="I112" t="str">
        <f t="shared" si="11"/>
        <v/>
      </c>
      <c r="J112" t="str">
        <f t="shared" si="17"/>
        <v/>
      </c>
      <c r="K112" t="str">
        <f t="shared" si="18"/>
        <v>Matchday 7</v>
      </c>
      <c r="L112" t="str">
        <f t="shared" si="19"/>
        <v/>
      </c>
    </row>
    <row r="113" spans="1:12" hidden="1">
      <c r="A113" t="str">
        <f>IF(Sheet1!A116="","",Sheet1!A116)</f>
        <v/>
      </c>
      <c r="C113" t="str">
        <f t="shared" si="12"/>
        <v/>
      </c>
      <c r="D113" t="str">
        <f t="shared" si="10"/>
        <v/>
      </c>
      <c r="E113" t="str">
        <f t="shared" si="13"/>
        <v/>
      </c>
      <c r="F113" t="str">
        <f t="shared" si="14"/>
        <v/>
      </c>
      <c r="G113" t="str">
        <f t="shared" si="15"/>
        <v/>
      </c>
      <c r="H113" t="str">
        <f t="shared" si="16"/>
        <v/>
      </c>
      <c r="I113" t="str">
        <f t="shared" si="11"/>
        <v/>
      </c>
      <c r="J113" t="str">
        <f t="shared" si="17"/>
        <v/>
      </c>
      <c r="K113" t="str">
        <f t="shared" si="18"/>
        <v>Matchday 7</v>
      </c>
      <c r="L113" t="str">
        <f t="shared" si="19"/>
        <v/>
      </c>
    </row>
    <row r="114" spans="1:12" hidden="1">
      <c r="A114" t="str">
        <f>IF(Sheet1!A117="","",Sheet1!A117)</f>
        <v>Matchday 8</v>
      </c>
      <c r="C114" t="str">
        <f t="shared" si="12"/>
        <v/>
      </c>
      <c r="D114" t="str">
        <f t="shared" si="10"/>
        <v/>
      </c>
      <c r="E114" t="str">
        <f t="shared" si="13"/>
        <v/>
      </c>
      <c r="F114" t="str">
        <f t="shared" si="14"/>
        <v/>
      </c>
      <c r="G114" t="str">
        <f t="shared" si="15"/>
        <v/>
      </c>
      <c r="H114" t="str">
        <f t="shared" si="16"/>
        <v/>
      </c>
      <c r="I114" t="str">
        <f t="shared" si="11"/>
        <v/>
      </c>
      <c r="J114" t="str">
        <f t="shared" si="17"/>
        <v/>
      </c>
      <c r="K114" t="str">
        <f t="shared" si="18"/>
        <v>Matchday 7</v>
      </c>
      <c r="L114" t="str">
        <f t="shared" si="19"/>
        <v/>
      </c>
    </row>
    <row r="115" spans="1:12" hidden="1">
      <c r="A115" t="str">
        <f>IF(Sheet1!A118="","",Sheet1!A118)</f>
        <v>[Fri Nov/6]</v>
      </c>
      <c r="C115" t="str">
        <f t="shared" si="12"/>
        <v/>
      </c>
      <c r="D115" t="str">
        <f t="shared" si="10"/>
        <v/>
      </c>
      <c r="E115" t="str">
        <f t="shared" si="13"/>
        <v/>
      </c>
      <c r="F115" t="str">
        <f t="shared" si="14"/>
        <v/>
      </c>
      <c r="G115" t="str">
        <f t="shared" si="15"/>
        <v/>
      </c>
      <c r="H115" t="str">
        <f t="shared" si="16"/>
        <v/>
      </c>
      <c r="I115" t="str">
        <f t="shared" si="11"/>
        <v/>
      </c>
      <c r="J115" t="str">
        <f t="shared" si="17"/>
        <v/>
      </c>
      <c r="K115" t="str">
        <f t="shared" si="18"/>
        <v>Matchday 7</v>
      </c>
      <c r="L115" t="str">
        <f t="shared" si="19"/>
        <v/>
      </c>
    </row>
    <row r="116" spans="1:12">
      <c r="A116" t="str">
        <f>IF(Sheet1!A119="","",Sheet1!A119)</f>
        <v xml:space="preserve">  17.30  Brighton &amp; Hove Albion FC  0-0  Burnley FC</v>
      </c>
      <c r="C116">
        <f t="shared" si="12"/>
        <v>33</v>
      </c>
      <c r="D116">
        <f t="shared" si="10"/>
        <v>38</v>
      </c>
      <c r="E116">
        <f t="shared" si="13"/>
        <v>50</v>
      </c>
      <c r="F116" t="str">
        <f t="shared" si="14"/>
        <v>17.30</v>
      </c>
      <c r="G116" t="str">
        <f t="shared" si="15"/>
        <v>Brighton &amp; Hove Albion FC</v>
      </c>
      <c r="H116" t="str">
        <f t="shared" si="16"/>
        <v>0-0</v>
      </c>
      <c r="I116" t="str">
        <f t="shared" si="11"/>
        <v>Bur</v>
      </c>
      <c r="J116" t="str">
        <f t="shared" si="17"/>
        <v>y FC</v>
      </c>
      <c r="K116" t="str">
        <f t="shared" si="18"/>
        <v>Matchday 8</v>
      </c>
      <c r="L116" t="str">
        <f t="shared" si="19"/>
        <v>[Fri Nov/6]</v>
      </c>
    </row>
    <row r="117" spans="1:12">
      <c r="A117" t="str">
        <f>IF(Sheet1!A120="","",Sheet1!A120)</f>
        <v xml:space="preserve">  20.00  Southampton FC           2-0 (1-0)  Newcastle United FC</v>
      </c>
      <c r="C117">
        <f t="shared" si="12"/>
        <v>22</v>
      </c>
      <c r="D117">
        <f t="shared" si="10"/>
        <v>36</v>
      </c>
      <c r="E117">
        <f t="shared" si="13"/>
        <v>63</v>
      </c>
      <c r="F117" t="str">
        <f t="shared" si="14"/>
        <v>20.00</v>
      </c>
      <c r="G117" t="str">
        <f t="shared" si="15"/>
        <v>Southampton FC</v>
      </c>
      <c r="H117" t="str">
        <f t="shared" si="16"/>
        <v>2-0</v>
      </c>
      <c r="I117" t="str">
        <f t="shared" si="11"/>
        <v>1-0</v>
      </c>
      <c r="J117" t="str">
        <f t="shared" si="17"/>
        <v>Newcastle United FC</v>
      </c>
      <c r="K117" t="str">
        <f t="shared" si="18"/>
        <v>Matchday 8</v>
      </c>
      <c r="L117" t="str">
        <f t="shared" si="19"/>
        <v>[Fri Nov/6]</v>
      </c>
    </row>
    <row r="118" spans="1:12" hidden="1">
      <c r="A118" t="str">
        <f>IF(Sheet1!A121="","",Sheet1!A121)</f>
        <v>[Sat Nov/7]</v>
      </c>
      <c r="C118" t="str">
        <f t="shared" si="12"/>
        <v/>
      </c>
      <c r="D118" t="str">
        <f t="shared" si="10"/>
        <v/>
      </c>
      <c r="E118" t="str">
        <f t="shared" si="13"/>
        <v/>
      </c>
      <c r="F118" t="str">
        <f t="shared" si="14"/>
        <v/>
      </c>
      <c r="G118" t="str">
        <f t="shared" si="15"/>
        <v/>
      </c>
      <c r="H118" t="str">
        <f t="shared" si="16"/>
        <v/>
      </c>
      <c r="I118" t="str">
        <f t="shared" si="11"/>
        <v/>
      </c>
      <c r="J118" t="str">
        <f t="shared" si="17"/>
        <v/>
      </c>
      <c r="K118" t="str">
        <f t="shared" si="18"/>
        <v>Matchday 8</v>
      </c>
      <c r="L118" t="str">
        <f t="shared" si="19"/>
        <v/>
      </c>
    </row>
    <row r="119" spans="1:12">
      <c r="A119" t="str">
        <f>IF(Sheet1!A122="","",Sheet1!A122)</f>
        <v xml:space="preserve">  12.30  Everton FC               1-3 (1-2)  Manchester United</v>
      </c>
      <c r="C119">
        <f t="shared" si="12"/>
        <v>18</v>
      </c>
      <c r="D119">
        <f t="shared" si="10"/>
        <v>36</v>
      </c>
      <c r="E119">
        <f t="shared" si="13"/>
        <v>64</v>
      </c>
      <c r="F119" t="str">
        <f t="shared" si="14"/>
        <v>12.30</v>
      </c>
      <c r="G119" t="str">
        <f t="shared" si="15"/>
        <v>Everton FC</v>
      </c>
      <c r="H119" t="str">
        <f t="shared" si="16"/>
        <v>1-3</v>
      </c>
      <c r="I119" t="str">
        <f t="shared" si="11"/>
        <v>1-2</v>
      </c>
      <c r="J119" t="str">
        <f t="shared" si="17"/>
        <v>Manchester United</v>
      </c>
      <c r="K119" t="str">
        <f t="shared" si="18"/>
        <v>Matchday 8</v>
      </c>
      <c r="L119" t="str">
        <f t="shared" si="19"/>
        <v>[Sat Nov/7]</v>
      </c>
    </row>
    <row r="120" spans="1:12">
      <c r="A120" t="str">
        <f>IF(Sheet1!A123="","",Sheet1!A123)</f>
        <v xml:space="preserve">  15.00  Crystal Palace FC        4-1 (3-1)  Leeds United FC</v>
      </c>
      <c r="C120">
        <f t="shared" si="12"/>
        <v>25</v>
      </c>
      <c r="D120">
        <f t="shared" si="10"/>
        <v>36</v>
      </c>
      <c r="E120">
        <f t="shared" si="13"/>
        <v>59</v>
      </c>
      <c r="F120" t="str">
        <f t="shared" si="14"/>
        <v>15.00</v>
      </c>
      <c r="G120" t="str">
        <f t="shared" si="15"/>
        <v>Crystal Palace FC</v>
      </c>
      <c r="H120" t="str">
        <f t="shared" si="16"/>
        <v>4-1</v>
      </c>
      <c r="I120" t="str">
        <f t="shared" si="11"/>
        <v>3-1</v>
      </c>
      <c r="J120" t="str">
        <f t="shared" si="17"/>
        <v>Leeds United FC</v>
      </c>
      <c r="K120" t="str">
        <f t="shared" si="18"/>
        <v>Matchday 8</v>
      </c>
      <c r="L120" t="str">
        <f t="shared" si="19"/>
        <v>[Sat Nov/7]</v>
      </c>
    </row>
    <row r="121" spans="1:12">
      <c r="A121" t="str">
        <f>IF(Sheet1!A124="","",Sheet1!A124)</f>
        <v xml:space="preserve">  17.30  Chelsea FC               4-1 (2-1)  Sheffield United FC</v>
      </c>
      <c r="C121">
        <f t="shared" si="12"/>
        <v>18</v>
      </c>
      <c r="D121">
        <f t="shared" si="10"/>
        <v>36</v>
      </c>
      <c r="E121">
        <f t="shared" si="13"/>
        <v>63</v>
      </c>
      <c r="F121" t="str">
        <f t="shared" si="14"/>
        <v>17.30</v>
      </c>
      <c r="G121" t="str">
        <f t="shared" si="15"/>
        <v>Chelsea FC</v>
      </c>
      <c r="H121" t="str">
        <f t="shared" si="16"/>
        <v>4-1</v>
      </c>
      <c r="I121" t="str">
        <f t="shared" si="11"/>
        <v>2-1</v>
      </c>
      <c r="J121" t="str">
        <f t="shared" si="17"/>
        <v>Sheffield United FC</v>
      </c>
      <c r="K121" t="str">
        <f t="shared" si="18"/>
        <v>Matchday 8</v>
      </c>
      <c r="L121" t="str">
        <f t="shared" si="19"/>
        <v>[Sat Nov/7]</v>
      </c>
    </row>
    <row r="122" spans="1:12">
      <c r="A122" t="str">
        <f>IF(Sheet1!A125="","",Sheet1!A125)</f>
        <v xml:space="preserve">  20.00  West Ham United FC       1-0 (0-0)  Fulham FC</v>
      </c>
      <c r="C122">
        <f t="shared" si="12"/>
        <v>26</v>
      </c>
      <c r="D122">
        <f t="shared" si="10"/>
        <v>36</v>
      </c>
      <c r="E122">
        <f t="shared" si="13"/>
        <v>53</v>
      </c>
      <c r="F122" t="str">
        <f t="shared" si="14"/>
        <v>20.00</v>
      </c>
      <c r="G122" t="str">
        <f t="shared" si="15"/>
        <v>West Ham United FC</v>
      </c>
      <c r="H122" t="str">
        <f t="shared" si="16"/>
        <v>1-0</v>
      </c>
      <c r="I122" t="str">
        <f t="shared" si="11"/>
        <v>0-0</v>
      </c>
      <c r="J122" t="str">
        <f t="shared" si="17"/>
        <v>Fulham FC</v>
      </c>
      <c r="K122" t="str">
        <f t="shared" si="18"/>
        <v>Matchday 8</v>
      </c>
      <c r="L122" t="str">
        <f t="shared" si="19"/>
        <v>[Sat Nov/7]</v>
      </c>
    </row>
    <row r="123" spans="1:12" hidden="1">
      <c r="A123" t="str">
        <f>IF(Sheet1!A126="","",Sheet1!A126)</f>
        <v>[Sun Nov/8]</v>
      </c>
      <c r="C123" t="str">
        <f t="shared" si="12"/>
        <v/>
      </c>
      <c r="D123" t="str">
        <f t="shared" si="10"/>
        <v/>
      </c>
      <c r="E123" t="str">
        <f t="shared" si="13"/>
        <v/>
      </c>
      <c r="F123" t="str">
        <f t="shared" si="14"/>
        <v/>
      </c>
      <c r="G123" t="str">
        <f t="shared" si="15"/>
        <v/>
      </c>
      <c r="H123" t="str">
        <f t="shared" si="16"/>
        <v/>
      </c>
      <c r="I123" t="str">
        <f t="shared" si="11"/>
        <v/>
      </c>
      <c r="J123" t="str">
        <f t="shared" si="17"/>
        <v/>
      </c>
      <c r="K123" t="str">
        <f t="shared" si="18"/>
        <v>Matchday 8</v>
      </c>
      <c r="L123" t="str">
        <f t="shared" si="19"/>
        <v/>
      </c>
    </row>
    <row r="124" spans="1:12">
      <c r="A124" t="str">
        <f>IF(Sheet1!A127="","",Sheet1!A127)</f>
        <v xml:space="preserve">  12.00  West Bromwich Albion FC  0-1 (0-0)  Tottenham Hotspur FC</v>
      </c>
      <c r="C124">
        <f t="shared" si="12"/>
        <v>31</v>
      </c>
      <c r="D124">
        <f t="shared" si="10"/>
        <v>36</v>
      </c>
      <c r="E124">
        <f t="shared" si="13"/>
        <v>64</v>
      </c>
      <c r="F124" t="str">
        <f t="shared" si="14"/>
        <v>12.00</v>
      </c>
      <c r="G124" t="str">
        <f t="shared" si="15"/>
        <v>West Bromwich Albion FC</v>
      </c>
      <c r="H124" t="str">
        <f t="shared" si="16"/>
        <v>0-1</v>
      </c>
      <c r="I124" t="str">
        <f t="shared" si="11"/>
        <v>0-0</v>
      </c>
      <c r="J124" t="str">
        <f t="shared" si="17"/>
        <v>Tottenham Hotspur FC</v>
      </c>
      <c r="K124" t="str">
        <f t="shared" si="18"/>
        <v>Matchday 8</v>
      </c>
      <c r="L124" t="str">
        <f t="shared" si="19"/>
        <v>[Sun Nov/8]</v>
      </c>
    </row>
    <row r="125" spans="1:12">
      <c r="A125" t="str">
        <f>IF(Sheet1!A128="","",Sheet1!A128)</f>
        <v xml:space="preserve">  14.00  Leicester City FC        1-0 (1-0)  Wolverhampton Wanderers FC</v>
      </c>
      <c r="C125">
        <f t="shared" si="12"/>
        <v>25</v>
      </c>
      <c r="D125">
        <f t="shared" si="10"/>
        <v>36</v>
      </c>
      <c r="E125">
        <f t="shared" si="13"/>
        <v>70</v>
      </c>
      <c r="F125" t="str">
        <f t="shared" si="14"/>
        <v>14.00</v>
      </c>
      <c r="G125" t="str">
        <f t="shared" si="15"/>
        <v>Leicester City FC</v>
      </c>
      <c r="H125" t="str">
        <f t="shared" si="16"/>
        <v>1-0</v>
      </c>
      <c r="I125" t="str">
        <f t="shared" si="11"/>
        <v>1-0</v>
      </c>
      <c r="J125" t="str">
        <f t="shared" si="17"/>
        <v>Wolverhampton Wanderers FC</v>
      </c>
      <c r="K125" t="str">
        <f t="shared" si="18"/>
        <v>Matchday 8</v>
      </c>
      <c r="L125" t="str">
        <f t="shared" si="19"/>
        <v>[Sun Nov/8]</v>
      </c>
    </row>
    <row r="126" spans="1:12">
      <c r="A126" t="str">
        <f>IF(Sheet1!A129="","",Sheet1!A129)</f>
        <v xml:space="preserve">  16.30  Manchester City FC       1-1 (1-1)  Liverpool FC</v>
      </c>
      <c r="C126">
        <f t="shared" si="12"/>
        <v>26</v>
      </c>
      <c r="D126">
        <f t="shared" si="10"/>
        <v>36</v>
      </c>
      <c r="E126">
        <f t="shared" si="13"/>
        <v>56</v>
      </c>
      <c r="F126" t="str">
        <f t="shared" si="14"/>
        <v>16.30</v>
      </c>
      <c r="G126" t="str">
        <f t="shared" si="15"/>
        <v>Manchester City FC</v>
      </c>
      <c r="H126" t="str">
        <f t="shared" si="16"/>
        <v>1-1</v>
      </c>
      <c r="I126" t="str">
        <f t="shared" si="11"/>
        <v>1-1</v>
      </c>
      <c r="J126" t="str">
        <f t="shared" si="17"/>
        <v>Liverpool FC</v>
      </c>
      <c r="K126" t="str">
        <f t="shared" si="18"/>
        <v>Matchday 8</v>
      </c>
      <c r="L126" t="str">
        <f t="shared" si="19"/>
        <v>[Sun Nov/8]</v>
      </c>
    </row>
    <row r="127" spans="1:12">
      <c r="A127" t="str">
        <f>IF(Sheet1!A130="","",Sheet1!A130)</f>
        <v xml:space="preserve">  19.15  Arsenal FC               0-3 (0-1)  Aston Villa FC</v>
      </c>
      <c r="C127">
        <f t="shared" si="12"/>
        <v>18</v>
      </c>
      <c r="D127">
        <f t="shared" si="10"/>
        <v>36</v>
      </c>
      <c r="E127">
        <f t="shared" si="13"/>
        <v>58</v>
      </c>
      <c r="F127" t="str">
        <f t="shared" si="14"/>
        <v>19.15</v>
      </c>
      <c r="G127" t="str">
        <f t="shared" si="15"/>
        <v>Arsenal FC</v>
      </c>
      <c r="H127" t="str">
        <f t="shared" si="16"/>
        <v>0-3</v>
      </c>
      <c r="I127" t="str">
        <f t="shared" si="11"/>
        <v>0-1</v>
      </c>
      <c r="J127" t="str">
        <f t="shared" si="17"/>
        <v>Aston Villa FC</v>
      </c>
      <c r="K127" t="str">
        <f t="shared" si="18"/>
        <v>Matchday 8</v>
      </c>
      <c r="L127" t="str">
        <f t="shared" si="19"/>
        <v>[Sun Nov/8]</v>
      </c>
    </row>
    <row r="128" spans="1:12" hidden="1">
      <c r="A128" t="str">
        <f>IF(Sheet1!A131="","",Sheet1!A131)</f>
        <v/>
      </c>
      <c r="C128" t="str">
        <f t="shared" si="12"/>
        <v/>
      </c>
      <c r="D128" t="str">
        <f t="shared" si="10"/>
        <v/>
      </c>
      <c r="E128" t="str">
        <f t="shared" si="13"/>
        <v/>
      </c>
      <c r="F128" t="str">
        <f t="shared" si="14"/>
        <v/>
      </c>
      <c r="G128" t="str">
        <f t="shared" si="15"/>
        <v/>
      </c>
      <c r="H128" t="str">
        <f t="shared" si="16"/>
        <v/>
      </c>
      <c r="I128" t="str">
        <f t="shared" si="11"/>
        <v/>
      </c>
      <c r="J128" t="str">
        <f t="shared" si="17"/>
        <v/>
      </c>
      <c r="K128" t="str">
        <f t="shared" si="18"/>
        <v>Matchday 8</v>
      </c>
      <c r="L128" t="str">
        <f t="shared" si="19"/>
        <v/>
      </c>
    </row>
    <row r="129" spans="1:12" hidden="1">
      <c r="A129" t="str">
        <f>IF(Sheet1!A132="","",Sheet1!A132)</f>
        <v/>
      </c>
      <c r="C129" t="str">
        <f t="shared" si="12"/>
        <v/>
      </c>
      <c r="D129" t="str">
        <f t="shared" si="10"/>
        <v/>
      </c>
      <c r="E129" t="str">
        <f t="shared" si="13"/>
        <v/>
      </c>
      <c r="F129" t="str">
        <f t="shared" si="14"/>
        <v/>
      </c>
      <c r="G129" t="str">
        <f t="shared" si="15"/>
        <v/>
      </c>
      <c r="H129" t="str">
        <f t="shared" si="16"/>
        <v/>
      </c>
      <c r="I129" t="str">
        <f t="shared" si="11"/>
        <v/>
      </c>
      <c r="J129" t="str">
        <f t="shared" si="17"/>
        <v/>
      </c>
      <c r="K129" t="str">
        <f t="shared" si="18"/>
        <v>Matchday 8</v>
      </c>
      <c r="L129" t="str">
        <f t="shared" si="19"/>
        <v/>
      </c>
    </row>
    <row r="130" spans="1:12" hidden="1">
      <c r="A130" t="str">
        <f>IF(Sheet1!A133="","",Sheet1!A133)</f>
        <v>Matchday 9</v>
      </c>
      <c r="C130" t="str">
        <f t="shared" si="12"/>
        <v/>
      </c>
      <c r="D130" t="str">
        <f t="shared" si="10"/>
        <v/>
      </c>
      <c r="E130" t="str">
        <f t="shared" si="13"/>
        <v/>
      </c>
      <c r="F130" t="str">
        <f t="shared" si="14"/>
        <v/>
      </c>
      <c r="G130" t="str">
        <f t="shared" si="15"/>
        <v/>
      </c>
      <c r="H130" t="str">
        <f t="shared" si="16"/>
        <v/>
      </c>
      <c r="I130" t="str">
        <f t="shared" si="11"/>
        <v/>
      </c>
      <c r="J130" t="str">
        <f t="shared" si="17"/>
        <v/>
      </c>
      <c r="K130" t="str">
        <f t="shared" si="18"/>
        <v>Matchday 8</v>
      </c>
      <c r="L130" t="str">
        <f t="shared" si="19"/>
        <v/>
      </c>
    </row>
    <row r="131" spans="1:12" hidden="1">
      <c r="A131" t="str">
        <f>IF(Sheet1!A134="","",Sheet1!A134)</f>
        <v>[Sat Nov/21]</v>
      </c>
      <c r="C131" t="str">
        <f t="shared" si="12"/>
        <v/>
      </c>
      <c r="D131" t="str">
        <f t="shared" ref="D131:D194" si="20">IFERROR(FIND("-",A131),"")</f>
        <v/>
      </c>
      <c r="E131" t="str">
        <f t="shared" si="13"/>
        <v/>
      </c>
      <c r="F131" t="str">
        <f t="shared" si="14"/>
        <v/>
      </c>
      <c r="G131" t="str">
        <f t="shared" si="15"/>
        <v/>
      </c>
      <c r="H131" t="str">
        <f t="shared" si="16"/>
        <v/>
      </c>
      <c r="I131" t="str">
        <f t="shared" ref="I131:I194" si="21">IFERROR(IF(LEFT(H131,1)=" ","",MID(A131,D131+4,3)),"")</f>
        <v/>
      </c>
      <c r="J131" t="str">
        <f t="shared" si="17"/>
        <v/>
      </c>
      <c r="K131" t="str">
        <f t="shared" si="18"/>
        <v>Matchday 8</v>
      </c>
      <c r="L131" t="str">
        <f t="shared" si="19"/>
        <v/>
      </c>
    </row>
    <row r="132" spans="1:12">
      <c r="A132" t="str">
        <f>IF(Sheet1!A135="","",Sheet1!A135)</f>
        <v xml:space="preserve">  12.30  Newcastle United FC      -  Chelsea FC</v>
      </c>
      <c r="C132">
        <f t="shared" ref="C132:C195" si="22">IFERROR(FIND("FC",SUBSTITUTE(A132,"Manchester United","Manchester United FC")),"")</f>
        <v>27</v>
      </c>
      <c r="D132">
        <f t="shared" si="20"/>
        <v>35</v>
      </c>
      <c r="E132">
        <f t="shared" ref="E132:E195" si="23">IFERROR(FIND("FC",SUBSTITUTE(A132,"Manchester United","Manchester United FC"),D132),"")</f>
        <v>46</v>
      </c>
      <c r="F132" t="str">
        <f t="shared" ref="F132:F195" si="24">IFERROR(IF(VALUE(MID($A132,3,2))&lt;25,MID($A132,3,5),""),"")</f>
        <v>12.30</v>
      </c>
      <c r="G132" t="str">
        <f t="shared" ref="G132:G195" si="25">IFERROR(IFERROR(IF(VALUE(MID($A132,3,2))&lt;25,MID($A132,10,C132-8),""),MID(A132,3,C132)),"")</f>
        <v>Newcastle United FC</v>
      </c>
      <c r="H132" t="str">
        <f t="shared" ref="H132:H195" si="26">IFERROR(MID(A132,D132-1,3),"")</f>
        <v xml:space="preserve"> - </v>
      </c>
      <c r="I132" t="str">
        <f t="shared" si="21"/>
        <v/>
      </c>
      <c r="J132" t="str">
        <f t="shared" ref="J132:J195" si="27">IFERROR(IFERROR(IF(VALUE(MID($A132,3,2))&lt;25,MID($A132,D132+10,E132-8),""),MID(A132,D132+3,E132)),"")</f>
        <v xml:space="preserve"> FC</v>
      </c>
      <c r="K132" t="str">
        <f t="shared" ref="K132:K195" si="28">IF(LEFT(A130,8)="Matchday",A130,K131)</f>
        <v>Matchday 9</v>
      </c>
      <c r="L132" t="str">
        <f t="shared" ref="L132:L195" si="29">IF(C132="","",IF(LEFT(A131,1)="[",A131,L131))</f>
        <v>[Sat Nov/21]</v>
      </c>
    </row>
    <row r="133" spans="1:12">
      <c r="A133" t="str">
        <f>IF(Sheet1!A136="","",Sheet1!A136)</f>
        <v xml:space="preserve">  15.00  Aston Villa FC           -  Brighton &amp; Hove Albion FC</v>
      </c>
      <c r="C133">
        <f t="shared" si="22"/>
        <v>22</v>
      </c>
      <c r="D133">
        <f t="shared" si="20"/>
        <v>35</v>
      </c>
      <c r="E133">
        <f t="shared" si="23"/>
        <v>61</v>
      </c>
      <c r="F133" t="str">
        <f t="shared" si="24"/>
        <v>15.00</v>
      </c>
      <c r="G133" t="str">
        <f t="shared" si="25"/>
        <v>Aston Villa FC</v>
      </c>
      <c r="H133" t="str">
        <f t="shared" si="26"/>
        <v xml:space="preserve"> - </v>
      </c>
      <c r="I133" t="str">
        <f t="shared" si="21"/>
        <v/>
      </c>
      <c r="J133" t="str">
        <f t="shared" si="27"/>
        <v>n &amp; Hove Albion FC</v>
      </c>
      <c r="K133" t="str">
        <f t="shared" si="28"/>
        <v>Matchday 9</v>
      </c>
      <c r="L133" t="str">
        <f t="shared" si="29"/>
        <v>[Sat Nov/21]</v>
      </c>
    </row>
    <row r="134" spans="1:12">
      <c r="A134" t="str">
        <f>IF(Sheet1!A137="","",Sheet1!A137)</f>
        <v xml:space="preserve">         Burnley FC               -  Crystal Palace FC</v>
      </c>
      <c r="C134">
        <f t="shared" si="22"/>
        <v>18</v>
      </c>
      <c r="D134">
        <f t="shared" si="20"/>
        <v>35</v>
      </c>
      <c r="E134">
        <f t="shared" si="23"/>
        <v>53</v>
      </c>
      <c r="F134" t="str">
        <f t="shared" si="24"/>
        <v/>
      </c>
      <c r="G134" t="str">
        <f t="shared" si="25"/>
        <v xml:space="preserve">       Burnley FC </v>
      </c>
      <c r="H134" t="str">
        <f t="shared" si="26"/>
        <v xml:space="preserve"> - </v>
      </c>
      <c r="I134" t="str">
        <f t="shared" si="21"/>
        <v/>
      </c>
      <c r="J134" t="str">
        <f t="shared" si="27"/>
        <v>Crystal Palace FC</v>
      </c>
      <c r="K134" t="str">
        <f t="shared" si="28"/>
        <v>Matchday 9</v>
      </c>
      <c r="L134" t="str">
        <f t="shared" si="29"/>
        <v>[Sat Nov/21]</v>
      </c>
    </row>
    <row r="135" spans="1:12">
      <c r="A135" t="str">
        <f>IF(Sheet1!A138="","",Sheet1!A138)</f>
        <v xml:space="preserve">         Fulham FC                -  Everton FC</v>
      </c>
      <c r="C135">
        <f t="shared" si="22"/>
        <v>17</v>
      </c>
      <c r="D135">
        <f t="shared" si="20"/>
        <v>35</v>
      </c>
      <c r="E135">
        <f t="shared" si="23"/>
        <v>46</v>
      </c>
      <c r="F135" t="str">
        <f t="shared" si="24"/>
        <v/>
      </c>
      <c r="G135" t="str">
        <f t="shared" si="25"/>
        <v xml:space="preserve">       Fulham FC </v>
      </c>
      <c r="H135" t="str">
        <f t="shared" si="26"/>
        <v xml:space="preserve"> - </v>
      </c>
      <c r="I135" t="str">
        <f t="shared" si="21"/>
        <v/>
      </c>
      <c r="J135" t="str">
        <f t="shared" si="27"/>
        <v>Everton FC</v>
      </c>
      <c r="K135" t="str">
        <f t="shared" si="28"/>
        <v>Matchday 9</v>
      </c>
      <c r="L135" t="str">
        <f t="shared" si="29"/>
        <v>[Sat Nov/21]</v>
      </c>
    </row>
    <row r="136" spans="1:12">
      <c r="A136" t="str">
        <f>IF(Sheet1!A139="","",Sheet1!A139)</f>
        <v xml:space="preserve">         Liverpool FC             -  Leicester City FC</v>
      </c>
      <c r="C136">
        <f t="shared" si="22"/>
        <v>20</v>
      </c>
      <c r="D136">
        <f t="shared" si="20"/>
        <v>35</v>
      </c>
      <c r="E136">
        <f t="shared" si="23"/>
        <v>53</v>
      </c>
      <c r="F136" t="str">
        <f t="shared" si="24"/>
        <v/>
      </c>
      <c r="G136" t="str">
        <f t="shared" si="25"/>
        <v xml:space="preserve">       Liverpool FC </v>
      </c>
      <c r="H136" t="str">
        <f t="shared" si="26"/>
        <v xml:space="preserve"> - </v>
      </c>
      <c r="I136" t="str">
        <f t="shared" si="21"/>
        <v/>
      </c>
      <c r="J136" t="str">
        <f t="shared" si="27"/>
        <v>Leicester City FC</v>
      </c>
      <c r="K136" t="str">
        <f t="shared" si="28"/>
        <v>Matchday 9</v>
      </c>
      <c r="L136" t="str">
        <f t="shared" si="29"/>
        <v>[Sat Nov/21]</v>
      </c>
    </row>
    <row r="137" spans="1:12">
      <c r="A137" t="str">
        <f>IF(Sheet1!A140="","",Sheet1!A140)</f>
        <v xml:space="preserve">         Manchester United        -  West Bromwich Albion FC</v>
      </c>
      <c r="C137">
        <f t="shared" si="22"/>
        <v>28</v>
      </c>
      <c r="D137">
        <f t="shared" si="20"/>
        <v>35</v>
      </c>
      <c r="E137">
        <f t="shared" si="23"/>
        <v>62</v>
      </c>
      <c r="F137" t="str">
        <f t="shared" si="24"/>
        <v/>
      </c>
      <c r="G137" t="str">
        <f t="shared" si="25"/>
        <v xml:space="preserve">       Manchester United    </v>
      </c>
      <c r="H137" t="str">
        <f t="shared" si="26"/>
        <v xml:space="preserve"> - </v>
      </c>
      <c r="I137" t="str">
        <f t="shared" si="21"/>
        <v/>
      </c>
      <c r="J137" t="str">
        <f t="shared" si="27"/>
        <v>West Bromwich Albion FC</v>
      </c>
      <c r="K137" t="str">
        <f t="shared" si="28"/>
        <v>Matchday 9</v>
      </c>
      <c r="L137" t="str">
        <f t="shared" si="29"/>
        <v>[Sat Nov/21]</v>
      </c>
    </row>
    <row r="138" spans="1:12">
      <c r="A138" t="str">
        <f>IF(Sheet1!A141="","",Sheet1!A141)</f>
        <v xml:space="preserve">         Wolverhampton Wanderers FC  -  Southampton FC</v>
      </c>
      <c r="C138">
        <f t="shared" si="22"/>
        <v>34</v>
      </c>
      <c r="D138">
        <f t="shared" si="20"/>
        <v>38</v>
      </c>
      <c r="E138">
        <f t="shared" si="23"/>
        <v>53</v>
      </c>
      <c r="F138" t="str">
        <f t="shared" si="24"/>
        <v/>
      </c>
      <c r="G138" t="str">
        <f t="shared" si="25"/>
        <v xml:space="preserve">       Wolverhampton Wanderers FC </v>
      </c>
      <c r="H138" t="str">
        <f t="shared" si="26"/>
        <v xml:space="preserve"> - </v>
      </c>
      <c r="I138" t="str">
        <f t="shared" si="21"/>
        <v/>
      </c>
      <c r="J138" t="str">
        <f t="shared" si="27"/>
        <v>Southampton FC</v>
      </c>
      <c r="K138" t="str">
        <f t="shared" si="28"/>
        <v>Matchday 9</v>
      </c>
      <c r="L138" t="str">
        <f t="shared" si="29"/>
        <v>[Sat Nov/21]</v>
      </c>
    </row>
    <row r="139" spans="1:12">
      <c r="A139" t="str">
        <f>IF(Sheet1!A142="","",Sheet1!A142)</f>
        <v xml:space="preserve">  17.30  Tottenham Hotspur FC     -  Manchester City FC</v>
      </c>
      <c r="C139">
        <f t="shared" si="22"/>
        <v>28</v>
      </c>
      <c r="D139">
        <f t="shared" si="20"/>
        <v>35</v>
      </c>
      <c r="E139">
        <f t="shared" si="23"/>
        <v>54</v>
      </c>
      <c r="F139" t="str">
        <f t="shared" si="24"/>
        <v>17.30</v>
      </c>
      <c r="G139" t="str">
        <f t="shared" si="25"/>
        <v>Tottenham Hotspur FC</v>
      </c>
      <c r="H139" t="str">
        <f t="shared" si="26"/>
        <v xml:space="preserve"> - </v>
      </c>
      <c r="I139" t="str">
        <f t="shared" si="21"/>
        <v/>
      </c>
      <c r="J139" t="str">
        <f t="shared" si="27"/>
        <v>ter City FC</v>
      </c>
      <c r="K139" t="str">
        <f t="shared" si="28"/>
        <v>Matchday 9</v>
      </c>
      <c r="L139" t="str">
        <f t="shared" si="29"/>
        <v>[Sat Nov/21]</v>
      </c>
    </row>
    <row r="140" spans="1:12" hidden="1">
      <c r="A140" t="str">
        <f>IF(Sheet1!A143="","",Sheet1!A143)</f>
        <v>[Sun Nov/22]</v>
      </c>
      <c r="C140" t="str">
        <f t="shared" si="22"/>
        <v/>
      </c>
      <c r="D140" t="str">
        <f t="shared" si="20"/>
        <v/>
      </c>
      <c r="E140" t="str">
        <f t="shared" si="23"/>
        <v/>
      </c>
      <c r="F140" t="str">
        <f t="shared" si="24"/>
        <v/>
      </c>
      <c r="G140" t="str">
        <f t="shared" si="25"/>
        <v/>
      </c>
      <c r="H140" t="str">
        <f t="shared" si="26"/>
        <v/>
      </c>
      <c r="I140" t="str">
        <f t="shared" si="21"/>
        <v/>
      </c>
      <c r="J140" t="str">
        <f t="shared" si="27"/>
        <v/>
      </c>
      <c r="K140" t="str">
        <f t="shared" si="28"/>
        <v>Matchday 9</v>
      </c>
      <c r="L140" t="str">
        <f t="shared" si="29"/>
        <v/>
      </c>
    </row>
    <row r="141" spans="1:12">
      <c r="A141" t="str">
        <f>IF(Sheet1!A144="","",Sheet1!A144)</f>
        <v xml:space="preserve">  14.00  Sheffield United FC      -  West Ham United FC</v>
      </c>
      <c r="C141">
        <f t="shared" si="22"/>
        <v>27</v>
      </c>
      <c r="D141">
        <f t="shared" si="20"/>
        <v>35</v>
      </c>
      <c r="E141">
        <f t="shared" si="23"/>
        <v>54</v>
      </c>
      <c r="F141" t="str">
        <f t="shared" si="24"/>
        <v>14.00</v>
      </c>
      <c r="G141" t="str">
        <f t="shared" si="25"/>
        <v>Sheffield United FC</v>
      </c>
      <c r="H141" t="str">
        <f t="shared" si="26"/>
        <v xml:space="preserve"> - </v>
      </c>
      <c r="I141" t="str">
        <f t="shared" si="21"/>
        <v/>
      </c>
      <c r="J141" t="str">
        <f t="shared" si="27"/>
        <v>m United FC</v>
      </c>
      <c r="K141" t="str">
        <f t="shared" si="28"/>
        <v>Matchday 9</v>
      </c>
      <c r="L141" t="str">
        <f t="shared" si="29"/>
        <v>[Sun Nov/22]</v>
      </c>
    </row>
    <row r="142" spans="1:12">
      <c r="A142" t="str">
        <f>IF(Sheet1!A145="","",Sheet1!A145)</f>
        <v xml:space="preserve">  16.30  Leeds United FC          -  Arsenal FC</v>
      </c>
      <c r="C142">
        <f t="shared" si="22"/>
        <v>23</v>
      </c>
      <c r="D142">
        <f t="shared" si="20"/>
        <v>35</v>
      </c>
      <c r="E142">
        <f t="shared" si="23"/>
        <v>46</v>
      </c>
      <c r="F142" t="str">
        <f t="shared" si="24"/>
        <v>16.30</v>
      </c>
      <c r="G142" t="str">
        <f t="shared" si="25"/>
        <v>Leeds United FC</v>
      </c>
      <c r="H142" t="str">
        <f t="shared" si="26"/>
        <v xml:space="preserve"> - </v>
      </c>
      <c r="I142" t="str">
        <f t="shared" si="21"/>
        <v/>
      </c>
      <c r="J142" t="str">
        <f t="shared" si="27"/>
        <v xml:space="preserve"> FC</v>
      </c>
      <c r="K142" t="str">
        <f t="shared" si="28"/>
        <v>Matchday 9</v>
      </c>
      <c r="L142" t="str">
        <f t="shared" si="29"/>
        <v>[Sun Nov/22]</v>
      </c>
    </row>
    <row r="143" spans="1:12" hidden="1">
      <c r="A143" t="str">
        <f>IF(Sheet1!A146="","",Sheet1!A146)</f>
        <v/>
      </c>
      <c r="C143" t="str">
        <f t="shared" si="22"/>
        <v/>
      </c>
      <c r="D143" t="str">
        <f t="shared" si="20"/>
        <v/>
      </c>
      <c r="E143" t="str">
        <f t="shared" si="23"/>
        <v/>
      </c>
      <c r="F143" t="str">
        <f t="shared" si="24"/>
        <v/>
      </c>
      <c r="G143" t="str">
        <f t="shared" si="25"/>
        <v/>
      </c>
      <c r="H143" t="str">
        <f t="shared" si="26"/>
        <v/>
      </c>
      <c r="I143" t="str">
        <f t="shared" si="21"/>
        <v/>
      </c>
      <c r="J143" t="str">
        <f t="shared" si="27"/>
        <v/>
      </c>
      <c r="K143" t="str">
        <f t="shared" si="28"/>
        <v>Matchday 9</v>
      </c>
      <c r="L143" t="str">
        <f t="shared" si="29"/>
        <v/>
      </c>
    </row>
    <row r="144" spans="1:12" hidden="1">
      <c r="A144" t="str">
        <f>IF(Sheet1!A147="","",Sheet1!A147)</f>
        <v/>
      </c>
      <c r="C144" t="str">
        <f t="shared" si="22"/>
        <v/>
      </c>
      <c r="D144" t="str">
        <f t="shared" si="20"/>
        <v/>
      </c>
      <c r="E144" t="str">
        <f t="shared" si="23"/>
        <v/>
      </c>
      <c r="F144" t="str">
        <f t="shared" si="24"/>
        <v/>
      </c>
      <c r="G144" t="str">
        <f t="shared" si="25"/>
        <v/>
      </c>
      <c r="H144" t="str">
        <f t="shared" si="26"/>
        <v/>
      </c>
      <c r="I144" t="str">
        <f t="shared" si="21"/>
        <v/>
      </c>
      <c r="J144" t="str">
        <f t="shared" si="27"/>
        <v/>
      </c>
      <c r="K144" t="str">
        <f t="shared" si="28"/>
        <v>Matchday 9</v>
      </c>
      <c r="L144" t="str">
        <f t="shared" si="29"/>
        <v/>
      </c>
    </row>
    <row r="145" spans="1:12" hidden="1">
      <c r="A145" t="str">
        <f>IF(Sheet1!A148="","",Sheet1!A148)</f>
        <v>Matchday 10</v>
      </c>
      <c r="C145" t="str">
        <f t="shared" si="22"/>
        <v/>
      </c>
      <c r="D145" t="str">
        <f t="shared" si="20"/>
        <v/>
      </c>
      <c r="E145" t="str">
        <f t="shared" si="23"/>
        <v/>
      </c>
      <c r="F145" t="str">
        <f t="shared" si="24"/>
        <v/>
      </c>
      <c r="G145" t="str">
        <f t="shared" si="25"/>
        <v/>
      </c>
      <c r="H145" t="str">
        <f t="shared" si="26"/>
        <v/>
      </c>
      <c r="I145" t="str">
        <f t="shared" si="21"/>
        <v/>
      </c>
      <c r="J145" t="str">
        <f t="shared" si="27"/>
        <v/>
      </c>
      <c r="K145" t="str">
        <f t="shared" si="28"/>
        <v>Matchday 9</v>
      </c>
      <c r="L145" t="str">
        <f t="shared" si="29"/>
        <v/>
      </c>
    </row>
    <row r="146" spans="1:12" hidden="1">
      <c r="A146" t="str">
        <f>IF(Sheet1!A149="","",Sheet1!A149)</f>
        <v>[Sat Nov/28]</v>
      </c>
      <c r="C146" t="str">
        <f t="shared" si="22"/>
        <v/>
      </c>
      <c r="D146" t="str">
        <f t="shared" si="20"/>
        <v/>
      </c>
      <c r="E146" t="str">
        <f t="shared" si="23"/>
        <v/>
      </c>
      <c r="F146" t="str">
        <f t="shared" si="24"/>
        <v/>
      </c>
      <c r="G146" t="str">
        <f t="shared" si="25"/>
        <v/>
      </c>
      <c r="H146" t="str">
        <f t="shared" si="26"/>
        <v/>
      </c>
      <c r="I146" t="str">
        <f t="shared" si="21"/>
        <v/>
      </c>
      <c r="J146" t="str">
        <f t="shared" si="27"/>
        <v/>
      </c>
      <c r="K146" t="str">
        <f t="shared" si="28"/>
        <v>Matchday 9</v>
      </c>
      <c r="L146" t="str">
        <f t="shared" si="29"/>
        <v/>
      </c>
    </row>
    <row r="147" spans="1:12">
      <c r="A147" t="str">
        <f>IF(Sheet1!A150="","",Sheet1!A150)</f>
        <v xml:space="preserve">  Arsenal FC               -  Wolverhampton Wanderers FC</v>
      </c>
      <c r="C147">
        <f t="shared" si="22"/>
        <v>11</v>
      </c>
      <c r="D147">
        <f t="shared" si="20"/>
        <v>28</v>
      </c>
      <c r="E147">
        <f t="shared" si="23"/>
        <v>55</v>
      </c>
      <c r="F147" t="str">
        <f t="shared" si="24"/>
        <v/>
      </c>
      <c r="G147" t="str">
        <f t="shared" si="25"/>
        <v xml:space="preserve">Arsenal FC </v>
      </c>
      <c r="H147" t="str">
        <f t="shared" si="26"/>
        <v xml:space="preserve"> - </v>
      </c>
      <c r="I147" t="str">
        <f t="shared" si="21"/>
        <v/>
      </c>
      <c r="J147" t="str">
        <f t="shared" si="27"/>
        <v>Wolverhampton Wanderers FC</v>
      </c>
      <c r="K147" t="str">
        <f t="shared" si="28"/>
        <v>Matchday 10</v>
      </c>
      <c r="L147" t="str">
        <f t="shared" si="29"/>
        <v>[Sat Nov/28]</v>
      </c>
    </row>
    <row r="148" spans="1:12">
      <c r="A148" t="str">
        <f>IF(Sheet1!A151="","",Sheet1!A151)</f>
        <v xml:space="preserve">  Leicester City FC        -  Fulham FC</v>
      </c>
      <c r="C148">
        <f t="shared" si="22"/>
        <v>18</v>
      </c>
      <c r="D148">
        <f t="shared" si="20"/>
        <v>28</v>
      </c>
      <c r="E148">
        <f t="shared" si="23"/>
        <v>38</v>
      </c>
      <c r="F148" t="str">
        <f t="shared" si="24"/>
        <v/>
      </c>
      <c r="G148" t="str">
        <f t="shared" si="25"/>
        <v xml:space="preserve">Leicester City FC </v>
      </c>
      <c r="H148" t="str">
        <f t="shared" si="26"/>
        <v xml:space="preserve"> - </v>
      </c>
      <c r="I148" t="str">
        <f t="shared" si="21"/>
        <v/>
      </c>
      <c r="J148" t="str">
        <f t="shared" si="27"/>
        <v>Fulham FC</v>
      </c>
      <c r="K148" t="str">
        <f t="shared" si="28"/>
        <v>Matchday 10</v>
      </c>
      <c r="L148" t="str">
        <f t="shared" si="29"/>
        <v>[Sat Nov/28]</v>
      </c>
    </row>
    <row r="149" spans="1:12">
      <c r="A149" t="str">
        <f>IF(Sheet1!A152="","",Sheet1!A152)</f>
        <v xml:space="preserve">  12.30  Brighton &amp; Hove Albion FC  -  Liverpool FC</v>
      </c>
      <c r="C149">
        <f t="shared" si="22"/>
        <v>33</v>
      </c>
      <c r="D149">
        <f t="shared" si="20"/>
        <v>37</v>
      </c>
      <c r="E149">
        <f t="shared" si="23"/>
        <v>50</v>
      </c>
      <c r="F149" t="str">
        <f t="shared" si="24"/>
        <v>12.30</v>
      </c>
      <c r="G149" t="str">
        <f t="shared" si="25"/>
        <v>Brighton &amp; Hove Albion FC</v>
      </c>
      <c r="H149" t="str">
        <f t="shared" si="26"/>
        <v xml:space="preserve"> - </v>
      </c>
      <c r="I149" t="str">
        <f t="shared" si="21"/>
        <v/>
      </c>
      <c r="J149" t="str">
        <f t="shared" si="27"/>
        <v>ol FC</v>
      </c>
      <c r="K149" t="str">
        <f t="shared" si="28"/>
        <v>Matchday 10</v>
      </c>
      <c r="L149" t="str">
        <f t="shared" si="29"/>
        <v>[Sat Nov/28]</v>
      </c>
    </row>
    <row r="150" spans="1:12">
      <c r="A150" t="str">
        <f>IF(Sheet1!A153="","",Sheet1!A153)</f>
        <v xml:space="preserve">  15.00  Crystal Palace FC        -  Newcastle United FC</v>
      </c>
      <c r="C150">
        <f t="shared" si="22"/>
        <v>25</v>
      </c>
      <c r="D150">
        <f t="shared" si="20"/>
        <v>35</v>
      </c>
      <c r="E150">
        <f t="shared" si="23"/>
        <v>55</v>
      </c>
      <c r="F150" t="str">
        <f t="shared" si="24"/>
        <v>15.00</v>
      </c>
      <c r="G150" t="str">
        <f t="shared" si="25"/>
        <v>Crystal Palace FC</v>
      </c>
      <c r="H150" t="str">
        <f t="shared" si="26"/>
        <v xml:space="preserve"> - </v>
      </c>
      <c r="I150" t="str">
        <f t="shared" si="21"/>
        <v/>
      </c>
      <c r="J150" t="str">
        <f t="shared" si="27"/>
        <v>le United FC</v>
      </c>
      <c r="K150" t="str">
        <f t="shared" si="28"/>
        <v>Matchday 10</v>
      </c>
      <c r="L150" t="str">
        <f t="shared" si="29"/>
        <v>[Sat Nov/28]</v>
      </c>
    </row>
    <row r="151" spans="1:12">
      <c r="A151" t="str">
        <f>IF(Sheet1!A154="","",Sheet1!A154)</f>
        <v xml:space="preserve">         Manchester City FC       -  Burnley FC</v>
      </c>
      <c r="C151">
        <f t="shared" si="22"/>
        <v>26</v>
      </c>
      <c r="D151">
        <f t="shared" si="20"/>
        <v>35</v>
      </c>
      <c r="E151">
        <f t="shared" si="23"/>
        <v>46</v>
      </c>
      <c r="F151" t="str">
        <f t="shared" si="24"/>
        <v/>
      </c>
      <c r="G151" t="str">
        <f t="shared" si="25"/>
        <v xml:space="preserve">       Manchester City FC </v>
      </c>
      <c r="H151" t="str">
        <f t="shared" si="26"/>
        <v xml:space="preserve"> - </v>
      </c>
      <c r="I151" t="str">
        <f t="shared" si="21"/>
        <v/>
      </c>
      <c r="J151" t="str">
        <f t="shared" si="27"/>
        <v>Burnley FC</v>
      </c>
      <c r="K151" t="str">
        <f t="shared" si="28"/>
        <v>Matchday 10</v>
      </c>
      <c r="L151" t="str">
        <f t="shared" si="29"/>
        <v>[Sat Nov/28]</v>
      </c>
    </row>
    <row r="152" spans="1:12">
      <c r="A152" t="str">
        <f>IF(Sheet1!A155="","",Sheet1!A155)</f>
        <v xml:space="preserve">         West Bromwich Albion FC  -  Sheffield United FC</v>
      </c>
      <c r="C152">
        <f t="shared" si="22"/>
        <v>31</v>
      </c>
      <c r="D152">
        <f t="shared" si="20"/>
        <v>35</v>
      </c>
      <c r="E152">
        <f t="shared" si="23"/>
        <v>55</v>
      </c>
      <c r="F152" t="str">
        <f t="shared" si="24"/>
        <v/>
      </c>
      <c r="G152" t="str">
        <f t="shared" si="25"/>
        <v xml:space="preserve">       West Bromwich Albion FC </v>
      </c>
      <c r="H152" t="str">
        <f t="shared" si="26"/>
        <v xml:space="preserve"> - </v>
      </c>
      <c r="I152" t="str">
        <f t="shared" si="21"/>
        <v/>
      </c>
      <c r="J152" t="str">
        <f t="shared" si="27"/>
        <v>Sheffield United FC</v>
      </c>
      <c r="K152" t="str">
        <f t="shared" si="28"/>
        <v>Matchday 10</v>
      </c>
      <c r="L152" t="str">
        <f t="shared" si="29"/>
        <v>[Sat Nov/28]</v>
      </c>
    </row>
    <row r="153" spans="1:12">
      <c r="A153" t="str">
        <f>IF(Sheet1!A156="","",Sheet1!A156)</f>
        <v xml:space="preserve">  17.30  Everton FC               -  Leeds United FC</v>
      </c>
      <c r="C153">
        <f t="shared" si="22"/>
        <v>18</v>
      </c>
      <c r="D153">
        <f t="shared" si="20"/>
        <v>35</v>
      </c>
      <c r="E153">
        <f t="shared" si="23"/>
        <v>51</v>
      </c>
      <c r="F153" t="str">
        <f t="shared" si="24"/>
        <v>17.30</v>
      </c>
      <c r="G153" t="str">
        <f t="shared" si="25"/>
        <v>Everton FC</v>
      </c>
      <c r="H153" t="str">
        <f t="shared" si="26"/>
        <v xml:space="preserve"> - </v>
      </c>
      <c r="I153" t="str">
        <f t="shared" si="21"/>
        <v/>
      </c>
      <c r="J153" t="str">
        <f t="shared" si="27"/>
        <v>nited FC</v>
      </c>
      <c r="K153" t="str">
        <f t="shared" si="28"/>
        <v>Matchday 10</v>
      </c>
      <c r="L153" t="str">
        <f t="shared" si="29"/>
        <v>[Sat Nov/28]</v>
      </c>
    </row>
    <row r="154" spans="1:12" hidden="1">
      <c r="A154" t="str">
        <f>IF(Sheet1!A157="","",Sheet1!A157)</f>
        <v>[Sun Nov/29]</v>
      </c>
      <c r="C154" t="str">
        <f t="shared" si="22"/>
        <v/>
      </c>
      <c r="D154" t="str">
        <f t="shared" si="20"/>
        <v/>
      </c>
      <c r="E154" t="str">
        <f t="shared" si="23"/>
        <v/>
      </c>
      <c r="F154" t="str">
        <f t="shared" si="24"/>
        <v/>
      </c>
      <c r="G154" t="str">
        <f t="shared" si="25"/>
        <v/>
      </c>
      <c r="H154" t="str">
        <f t="shared" si="26"/>
        <v/>
      </c>
      <c r="I154" t="str">
        <f t="shared" si="21"/>
        <v/>
      </c>
      <c r="J154" t="str">
        <f t="shared" si="27"/>
        <v/>
      </c>
      <c r="K154" t="str">
        <f t="shared" si="28"/>
        <v>Matchday 10</v>
      </c>
      <c r="L154" t="str">
        <f t="shared" si="29"/>
        <v/>
      </c>
    </row>
    <row r="155" spans="1:12">
      <c r="A155" t="str">
        <f>IF(Sheet1!A158="","",Sheet1!A158)</f>
        <v xml:space="preserve">  14.00  Southampton FC           -  Manchester United</v>
      </c>
      <c r="C155">
        <f t="shared" si="22"/>
        <v>22</v>
      </c>
      <c r="D155">
        <f t="shared" si="20"/>
        <v>35</v>
      </c>
      <c r="E155">
        <f t="shared" si="23"/>
        <v>56</v>
      </c>
      <c r="F155" t="str">
        <f t="shared" si="24"/>
        <v>14.00</v>
      </c>
      <c r="G155" t="str">
        <f t="shared" si="25"/>
        <v>Southampton FC</v>
      </c>
      <c r="H155" t="str">
        <f t="shared" si="26"/>
        <v xml:space="preserve"> - </v>
      </c>
      <c r="I155" t="str">
        <f t="shared" si="21"/>
        <v/>
      </c>
      <c r="J155" t="str">
        <f t="shared" si="27"/>
        <v>ter United</v>
      </c>
      <c r="K155" t="str">
        <f t="shared" si="28"/>
        <v>Matchday 10</v>
      </c>
      <c r="L155" t="str">
        <f t="shared" si="29"/>
        <v>[Sun Nov/29]</v>
      </c>
    </row>
    <row r="156" spans="1:12">
      <c r="A156" t="str">
        <f>IF(Sheet1!A159="","",Sheet1!A159)</f>
        <v xml:space="preserve">  16.30  Chelsea FC               -  Tottenham Hotspur FC</v>
      </c>
      <c r="C156">
        <f t="shared" si="22"/>
        <v>18</v>
      </c>
      <c r="D156">
        <f t="shared" si="20"/>
        <v>35</v>
      </c>
      <c r="E156">
        <f t="shared" si="23"/>
        <v>56</v>
      </c>
      <c r="F156" t="str">
        <f t="shared" si="24"/>
        <v>16.30</v>
      </c>
      <c r="G156" t="str">
        <f t="shared" si="25"/>
        <v>Chelsea FC</v>
      </c>
      <c r="H156" t="str">
        <f t="shared" si="26"/>
        <v xml:space="preserve"> - </v>
      </c>
      <c r="I156" t="str">
        <f t="shared" si="21"/>
        <v/>
      </c>
      <c r="J156" t="str">
        <f t="shared" si="27"/>
        <v>am Hotspur FC</v>
      </c>
      <c r="K156" t="str">
        <f t="shared" si="28"/>
        <v>Matchday 10</v>
      </c>
      <c r="L156" t="str">
        <f t="shared" si="29"/>
        <v>[Sun Nov/29]</v>
      </c>
    </row>
    <row r="157" spans="1:12" hidden="1">
      <c r="A157" t="str">
        <f>IF(Sheet1!A160="","",Sheet1!A160)</f>
        <v>[Mon Nov/30]</v>
      </c>
      <c r="C157" t="str">
        <f t="shared" si="22"/>
        <v/>
      </c>
      <c r="D157" t="str">
        <f t="shared" si="20"/>
        <v/>
      </c>
      <c r="E157" t="str">
        <f t="shared" si="23"/>
        <v/>
      </c>
      <c r="F157" t="str">
        <f t="shared" si="24"/>
        <v/>
      </c>
      <c r="G157" t="str">
        <f t="shared" si="25"/>
        <v/>
      </c>
      <c r="H157" t="str">
        <f t="shared" si="26"/>
        <v/>
      </c>
      <c r="I157" t="str">
        <f t="shared" si="21"/>
        <v/>
      </c>
      <c r="J157" t="str">
        <f t="shared" si="27"/>
        <v/>
      </c>
      <c r="K157" t="str">
        <f t="shared" si="28"/>
        <v>Matchday 10</v>
      </c>
      <c r="L157" t="str">
        <f t="shared" si="29"/>
        <v/>
      </c>
    </row>
    <row r="158" spans="1:12">
      <c r="A158" t="str">
        <f>IF(Sheet1!A161="","",Sheet1!A161)</f>
        <v xml:space="preserve">  20.00  West Ham United FC       -  Aston Villa FC</v>
      </c>
      <c r="C158">
        <f t="shared" si="22"/>
        <v>26</v>
      </c>
      <c r="D158">
        <f t="shared" si="20"/>
        <v>35</v>
      </c>
      <c r="E158">
        <f t="shared" si="23"/>
        <v>50</v>
      </c>
      <c r="F158" t="str">
        <f t="shared" si="24"/>
        <v>20.00</v>
      </c>
      <c r="G158" t="str">
        <f t="shared" si="25"/>
        <v>West Ham United FC</v>
      </c>
      <c r="H158" t="str">
        <f t="shared" si="26"/>
        <v xml:space="preserve"> - </v>
      </c>
      <c r="I158" t="str">
        <f t="shared" si="21"/>
        <v/>
      </c>
      <c r="J158" t="str">
        <f t="shared" si="27"/>
        <v>illa FC</v>
      </c>
      <c r="K158" t="str">
        <f t="shared" si="28"/>
        <v>Matchday 10</v>
      </c>
      <c r="L158" t="str">
        <f t="shared" si="29"/>
        <v>[Mon Nov/30]</v>
      </c>
    </row>
    <row r="159" spans="1:12" hidden="1">
      <c r="A159" t="str">
        <f>IF(Sheet1!A162="","",Sheet1!A162)</f>
        <v/>
      </c>
      <c r="C159" t="str">
        <f t="shared" si="22"/>
        <v/>
      </c>
      <c r="D159" t="str">
        <f t="shared" si="20"/>
        <v/>
      </c>
      <c r="E159" t="str">
        <f t="shared" si="23"/>
        <v/>
      </c>
      <c r="F159" t="str">
        <f t="shared" si="24"/>
        <v/>
      </c>
      <c r="G159" t="str">
        <f t="shared" si="25"/>
        <v/>
      </c>
      <c r="H159" t="str">
        <f t="shared" si="26"/>
        <v/>
      </c>
      <c r="I159" t="str">
        <f t="shared" si="21"/>
        <v/>
      </c>
      <c r="J159" t="str">
        <f t="shared" si="27"/>
        <v/>
      </c>
      <c r="K159" t="str">
        <f t="shared" si="28"/>
        <v>Matchday 10</v>
      </c>
      <c r="L159" t="str">
        <f t="shared" si="29"/>
        <v/>
      </c>
    </row>
    <row r="160" spans="1:12" hidden="1">
      <c r="A160" t="str">
        <f>IF(Sheet1!A163="","",Sheet1!A163)</f>
        <v/>
      </c>
      <c r="C160" t="str">
        <f t="shared" si="22"/>
        <v/>
      </c>
      <c r="D160" t="str">
        <f t="shared" si="20"/>
        <v/>
      </c>
      <c r="E160" t="str">
        <f t="shared" si="23"/>
        <v/>
      </c>
      <c r="F160" t="str">
        <f t="shared" si="24"/>
        <v/>
      </c>
      <c r="G160" t="str">
        <f t="shared" si="25"/>
        <v/>
      </c>
      <c r="H160" t="str">
        <f t="shared" si="26"/>
        <v/>
      </c>
      <c r="I160" t="str">
        <f t="shared" si="21"/>
        <v/>
      </c>
      <c r="J160" t="str">
        <f t="shared" si="27"/>
        <v/>
      </c>
      <c r="K160" t="str">
        <f t="shared" si="28"/>
        <v>Matchday 10</v>
      </c>
      <c r="L160" t="str">
        <f t="shared" si="29"/>
        <v/>
      </c>
    </row>
    <row r="161" spans="1:12" hidden="1">
      <c r="A161" t="str">
        <f>IF(Sheet1!A164="","",Sheet1!A164)</f>
        <v>Matchday 11</v>
      </c>
      <c r="C161" t="str">
        <f t="shared" si="22"/>
        <v/>
      </c>
      <c r="D161" t="str">
        <f t="shared" si="20"/>
        <v/>
      </c>
      <c r="E161" t="str">
        <f t="shared" si="23"/>
        <v/>
      </c>
      <c r="F161" t="str">
        <f t="shared" si="24"/>
        <v/>
      </c>
      <c r="G161" t="str">
        <f t="shared" si="25"/>
        <v/>
      </c>
      <c r="H161" t="str">
        <f t="shared" si="26"/>
        <v/>
      </c>
      <c r="I161" t="str">
        <f t="shared" si="21"/>
        <v/>
      </c>
      <c r="J161" t="str">
        <f t="shared" si="27"/>
        <v/>
      </c>
      <c r="K161" t="str">
        <f t="shared" si="28"/>
        <v>Matchday 10</v>
      </c>
      <c r="L161" t="str">
        <f t="shared" si="29"/>
        <v/>
      </c>
    </row>
    <row r="162" spans="1:12" hidden="1">
      <c r="A162" t="str">
        <f>IF(Sheet1!A165="","",Sheet1!A165)</f>
        <v>[Sat Dec/5]</v>
      </c>
      <c r="C162" t="str">
        <f t="shared" si="22"/>
        <v/>
      </c>
      <c r="D162" t="str">
        <f t="shared" si="20"/>
        <v/>
      </c>
      <c r="E162" t="str">
        <f t="shared" si="23"/>
        <v/>
      </c>
      <c r="F162" t="str">
        <f t="shared" si="24"/>
        <v/>
      </c>
      <c r="G162" t="str">
        <f t="shared" si="25"/>
        <v/>
      </c>
      <c r="H162" t="str">
        <f t="shared" si="26"/>
        <v/>
      </c>
      <c r="I162" t="str">
        <f t="shared" si="21"/>
        <v/>
      </c>
      <c r="J162" t="str">
        <f t="shared" si="27"/>
        <v/>
      </c>
      <c r="K162" t="str">
        <f t="shared" si="28"/>
        <v>Matchday 10</v>
      </c>
      <c r="L162" t="str">
        <f t="shared" si="29"/>
        <v/>
      </c>
    </row>
    <row r="163" spans="1:12">
      <c r="A163" t="str">
        <f>IF(Sheet1!A166="","",Sheet1!A166)</f>
        <v xml:space="preserve">  Aston Villa FC           -  Newcastle United FC</v>
      </c>
      <c r="C163">
        <f t="shared" si="22"/>
        <v>15</v>
      </c>
      <c r="D163">
        <f t="shared" si="20"/>
        <v>28</v>
      </c>
      <c r="E163">
        <f t="shared" si="23"/>
        <v>48</v>
      </c>
      <c r="F163" t="str">
        <f t="shared" si="24"/>
        <v/>
      </c>
      <c r="G163" t="str">
        <f t="shared" si="25"/>
        <v xml:space="preserve">Aston Villa FC </v>
      </c>
      <c r="H163" t="str">
        <f t="shared" si="26"/>
        <v xml:space="preserve"> - </v>
      </c>
      <c r="I163" t="str">
        <f t="shared" si="21"/>
        <v/>
      </c>
      <c r="J163" t="str">
        <f t="shared" si="27"/>
        <v>Newcastle United FC</v>
      </c>
      <c r="K163" t="str">
        <f t="shared" si="28"/>
        <v>Matchday 11</v>
      </c>
      <c r="L163" t="str">
        <f t="shared" si="29"/>
        <v>[Sat Dec/5]</v>
      </c>
    </row>
    <row r="164" spans="1:12">
      <c r="A164" t="str">
        <f>IF(Sheet1!A167="","",Sheet1!A167)</f>
        <v xml:space="preserve">  Brighton &amp; Hove Albion FC  -  Southampton FC</v>
      </c>
      <c r="C164">
        <f t="shared" si="22"/>
        <v>26</v>
      </c>
      <c r="D164">
        <f t="shared" si="20"/>
        <v>30</v>
      </c>
      <c r="E164">
        <f t="shared" si="23"/>
        <v>45</v>
      </c>
      <c r="F164" t="str">
        <f t="shared" si="24"/>
        <v/>
      </c>
      <c r="G164" t="str">
        <f t="shared" si="25"/>
        <v xml:space="preserve">Brighton &amp; Hove Albion FC </v>
      </c>
      <c r="H164" t="str">
        <f t="shared" si="26"/>
        <v xml:space="preserve"> - </v>
      </c>
      <c r="I164" t="str">
        <f t="shared" si="21"/>
        <v/>
      </c>
      <c r="J164" t="str">
        <f t="shared" si="27"/>
        <v>Southampton FC</v>
      </c>
      <c r="K164" t="str">
        <f t="shared" si="28"/>
        <v>Matchday 11</v>
      </c>
      <c r="L164" t="str">
        <f t="shared" si="29"/>
        <v>[Sat Dec/5]</v>
      </c>
    </row>
    <row r="165" spans="1:12">
      <c r="A165" t="str">
        <f>IF(Sheet1!A168="","",Sheet1!A168)</f>
        <v xml:space="preserve">  Burnley FC               -  Everton FC</v>
      </c>
      <c r="C165">
        <f t="shared" si="22"/>
        <v>11</v>
      </c>
      <c r="D165">
        <f t="shared" si="20"/>
        <v>28</v>
      </c>
      <c r="E165">
        <f t="shared" si="23"/>
        <v>39</v>
      </c>
      <c r="F165" t="str">
        <f t="shared" si="24"/>
        <v/>
      </c>
      <c r="G165" t="str">
        <f t="shared" si="25"/>
        <v xml:space="preserve">Burnley FC </v>
      </c>
      <c r="H165" t="str">
        <f t="shared" si="26"/>
        <v xml:space="preserve"> - </v>
      </c>
      <c r="I165" t="str">
        <f t="shared" si="21"/>
        <v/>
      </c>
      <c r="J165" t="str">
        <f t="shared" si="27"/>
        <v>Everton FC</v>
      </c>
      <c r="K165" t="str">
        <f t="shared" si="28"/>
        <v>Matchday 11</v>
      </c>
      <c r="L165" t="str">
        <f t="shared" si="29"/>
        <v>[Sat Dec/5]</v>
      </c>
    </row>
    <row r="166" spans="1:12">
      <c r="A166" t="str">
        <f>IF(Sheet1!A169="","",Sheet1!A169)</f>
        <v xml:space="preserve">  Chelsea FC               -  Leeds United FC</v>
      </c>
      <c r="C166">
        <f t="shared" si="22"/>
        <v>11</v>
      </c>
      <c r="D166">
        <f t="shared" si="20"/>
        <v>28</v>
      </c>
      <c r="E166">
        <f t="shared" si="23"/>
        <v>44</v>
      </c>
      <c r="F166" t="str">
        <f t="shared" si="24"/>
        <v/>
      </c>
      <c r="G166" t="str">
        <f t="shared" si="25"/>
        <v xml:space="preserve">Chelsea FC </v>
      </c>
      <c r="H166" t="str">
        <f t="shared" si="26"/>
        <v xml:space="preserve"> - </v>
      </c>
      <c r="I166" t="str">
        <f t="shared" si="21"/>
        <v/>
      </c>
      <c r="J166" t="str">
        <f t="shared" si="27"/>
        <v>Leeds United FC</v>
      </c>
      <c r="K166" t="str">
        <f t="shared" si="28"/>
        <v>Matchday 11</v>
      </c>
      <c r="L166" t="str">
        <f t="shared" si="29"/>
        <v>[Sat Dec/5]</v>
      </c>
    </row>
    <row r="167" spans="1:12">
      <c r="A167" t="str">
        <f>IF(Sheet1!A170="","",Sheet1!A170)</f>
        <v xml:space="preserve">  Liverpool FC             -  Wolverhampton Wanderers FC</v>
      </c>
      <c r="C167">
        <f t="shared" si="22"/>
        <v>13</v>
      </c>
      <c r="D167">
        <f t="shared" si="20"/>
        <v>28</v>
      </c>
      <c r="E167">
        <f t="shared" si="23"/>
        <v>55</v>
      </c>
      <c r="F167" t="str">
        <f t="shared" si="24"/>
        <v/>
      </c>
      <c r="G167" t="str">
        <f t="shared" si="25"/>
        <v xml:space="preserve">Liverpool FC </v>
      </c>
      <c r="H167" t="str">
        <f t="shared" si="26"/>
        <v xml:space="preserve"> - </v>
      </c>
      <c r="I167" t="str">
        <f t="shared" si="21"/>
        <v/>
      </c>
      <c r="J167" t="str">
        <f t="shared" si="27"/>
        <v>Wolverhampton Wanderers FC</v>
      </c>
      <c r="K167" t="str">
        <f t="shared" si="28"/>
        <v>Matchday 11</v>
      </c>
      <c r="L167" t="str">
        <f t="shared" si="29"/>
        <v>[Sat Dec/5]</v>
      </c>
    </row>
    <row r="168" spans="1:12">
      <c r="A168" t="str">
        <f>IF(Sheet1!A171="","",Sheet1!A171)</f>
        <v xml:space="preserve">  Manchester City FC       -  Fulham FC</v>
      </c>
      <c r="C168">
        <f t="shared" si="22"/>
        <v>19</v>
      </c>
      <c r="D168">
        <f t="shared" si="20"/>
        <v>28</v>
      </c>
      <c r="E168">
        <f t="shared" si="23"/>
        <v>38</v>
      </c>
      <c r="F168" t="str">
        <f t="shared" si="24"/>
        <v/>
      </c>
      <c r="G168" t="str">
        <f t="shared" si="25"/>
        <v xml:space="preserve">Manchester City FC </v>
      </c>
      <c r="H168" t="str">
        <f t="shared" si="26"/>
        <v xml:space="preserve"> - </v>
      </c>
      <c r="I168" t="str">
        <f t="shared" si="21"/>
        <v/>
      </c>
      <c r="J168" t="str">
        <f t="shared" si="27"/>
        <v>Fulham FC</v>
      </c>
      <c r="K168" t="str">
        <f t="shared" si="28"/>
        <v>Matchday 11</v>
      </c>
      <c r="L168" t="str">
        <f t="shared" si="29"/>
        <v>[Sat Dec/5]</v>
      </c>
    </row>
    <row r="169" spans="1:12">
      <c r="A169" t="str">
        <f>IF(Sheet1!A172="","",Sheet1!A172)</f>
        <v xml:space="preserve">  Sheffield United FC      -  Leicester City FC</v>
      </c>
      <c r="C169">
        <f t="shared" si="22"/>
        <v>20</v>
      </c>
      <c r="D169">
        <f t="shared" si="20"/>
        <v>28</v>
      </c>
      <c r="E169">
        <f t="shared" si="23"/>
        <v>46</v>
      </c>
      <c r="F169" t="str">
        <f t="shared" si="24"/>
        <v/>
      </c>
      <c r="G169" t="str">
        <f t="shared" si="25"/>
        <v xml:space="preserve">Sheffield United FC </v>
      </c>
      <c r="H169" t="str">
        <f t="shared" si="26"/>
        <v xml:space="preserve"> - </v>
      </c>
      <c r="I169" t="str">
        <f t="shared" si="21"/>
        <v/>
      </c>
      <c r="J169" t="str">
        <f t="shared" si="27"/>
        <v>Leicester City FC</v>
      </c>
      <c r="K169" t="str">
        <f t="shared" si="28"/>
        <v>Matchday 11</v>
      </c>
      <c r="L169" t="str">
        <f t="shared" si="29"/>
        <v>[Sat Dec/5]</v>
      </c>
    </row>
    <row r="170" spans="1:12">
      <c r="A170" t="str">
        <f>IF(Sheet1!A173="","",Sheet1!A173)</f>
        <v xml:space="preserve">  Tottenham Hotspur FC     -  Arsenal FC</v>
      </c>
      <c r="C170">
        <f t="shared" si="22"/>
        <v>21</v>
      </c>
      <c r="D170">
        <f t="shared" si="20"/>
        <v>28</v>
      </c>
      <c r="E170">
        <f t="shared" si="23"/>
        <v>39</v>
      </c>
      <c r="F170" t="str">
        <f t="shared" si="24"/>
        <v/>
      </c>
      <c r="G170" t="str">
        <f t="shared" si="25"/>
        <v xml:space="preserve">Tottenham Hotspur FC </v>
      </c>
      <c r="H170" t="str">
        <f t="shared" si="26"/>
        <v xml:space="preserve"> - </v>
      </c>
      <c r="I170" t="str">
        <f t="shared" si="21"/>
        <v/>
      </c>
      <c r="J170" t="str">
        <f t="shared" si="27"/>
        <v>Arsenal FC</v>
      </c>
      <c r="K170" t="str">
        <f t="shared" si="28"/>
        <v>Matchday 11</v>
      </c>
      <c r="L170" t="str">
        <f t="shared" si="29"/>
        <v>[Sat Dec/5]</v>
      </c>
    </row>
    <row r="171" spans="1:12">
      <c r="A171" t="str">
        <f>IF(Sheet1!A174="","",Sheet1!A174)</f>
        <v xml:space="preserve">  West Bromwich Albion FC  -  Crystal Palace FC</v>
      </c>
      <c r="C171">
        <f t="shared" si="22"/>
        <v>24</v>
      </c>
      <c r="D171">
        <f t="shared" si="20"/>
        <v>28</v>
      </c>
      <c r="E171">
        <f t="shared" si="23"/>
        <v>46</v>
      </c>
      <c r="F171" t="str">
        <f t="shared" si="24"/>
        <v/>
      </c>
      <c r="G171" t="str">
        <f t="shared" si="25"/>
        <v xml:space="preserve">West Bromwich Albion FC </v>
      </c>
      <c r="H171" t="str">
        <f t="shared" si="26"/>
        <v xml:space="preserve"> - </v>
      </c>
      <c r="I171" t="str">
        <f t="shared" si="21"/>
        <v/>
      </c>
      <c r="J171" t="str">
        <f t="shared" si="27"/>
        <v>Crystal Palace FC</v>
      </c>
      <c r="K171" t="str">
        <f t="shared" si="28"/>
        <v>Matchday 11</v>
      </c>
      <c r="L171" t="str">
        <f t="shared" si="29"/>
        <v>[Sat Dec/5]</v>
      </c>
    </row>
    <row r="172" spans="1:12">
      <c r="A172" t="str">
        <f>IF(Sheet1!A175="","",Sheet1!A175)</f>
        <v xml:space="preserve">  West Ham United FC       -  Manchester United</v>
      </c>
      <c r="C172">
        <f t="shared" si="22"/>
        <v>19</v>
      </c>
      <c r="D172">
        <f t="shared" si="20"/>
        <v>28</v>
      </c>
      <c r="E172">
        <f t="shared" si="23"/>
        <v>49</v>
      </c>
      <c r="F172" t="str">
        <f t="shared" si="24"/>
        <v/>
      </c>
      <c r="G172" t="str">
        <f t="shared" si="25"/>
        <v xml:space="preserve">West Ham United FC </v>
      </c>
      <c r="H172" t="str">
        <f t="shared" si="26"/>
        <v xml:space="preserve"> - </v>
      </c>
      <c r="I172" t="str">
        <f t="shared" si="21"/>
        <v/>
      </c>
      <c r="J172" t="str">
        <f t="shared" si="27"/>
        <v>Manchester United</v>
      </c>
      <c r="K172" t="str">
        <f t="shared" si="28"/>
        <v>Matchday 11</v>
      </c>
      <c r="L172" t="str">
        <f t="shared" si="29"/>
        <v>[Sat Dec/5]</v>
      </c>
    </row>
    <row r="173" spans="1:12" hidden="1">
      <c r="A173" t="str">
        <f>IF(Sheet1!A176="","",Sheet1!A176)</f>
        <v/>
      </c>
      <c r="C173" t="str">
        <f t="shared" si="22"/>
        <v/>
      </c>
      <c r="D173" t="str">
        <f t="shared" si="20"/>
        <v/>
      </c>
      <c r="E173" t="str">
        <f t="shared" si="23"/>
        <v/>
      </c>
      <c r="F173" t="str">
        <f t="shared" si="24"/>
        <v/>
      </c>
      <c r="G173" t="str">
        <f t="shared" si="25"/>
        <v/>
      </c>
      <c r="H173" t="str">
        <f t="shared" si="26"/>
        <v/>
      </c>
      <c r="I173" t="str">
        <f t="shared" si="21"/>
        <v/>
      </c>
      <c r="J173" t="str">
        <f t="shared" si="27"/>
        <v/>
      </c>
      <c r="K173" t="str">
        <f t="shared" si="28"/>
        <v>Matchday 11</v>
      </c>
      <c r="L173" t="str">
        <f t="shared" si="29"/>
        <v/>
      </c>
    </row>
    <row r="174" spans="1:12" hidden="1">
      <c r="A174" t="str">
        <f>IF(Sheet1!A177="","",Sheet1!A177)</f>
        <v/>
      </c>
      <c r="C174" t="str">
        <f t="shared" si="22"/>
        <v/>
      </c>
      <c r="D174" t="str">
        <f t="shared" si="20"/>
        <v/>
      </c>
      <c r="E174" t="str">
        <f t="shared" si="23"/>
        <v/>
      </c>
      <c r="F174" t="str">
        <f t="shared" si="24"/>
        <v/>
      </c>
      <c r="G174" t="str">
        <f t="shared" si="25"/>
        <v/>
      </c>
      <c r="H174" t="str">
        <f t="shared" si="26"/>
        <v/>
      </c>
      <c r="I174" t="str">
        <f t="shared" si="21"/>
        <v/>
      </c>
      <c r="J174" t="str">
        <f t="shared" si="27"/>
        <v/>
      </c>
      <c r="K174" t="str">
        <f t="shared" si="28"/>
        <v>Matchday 11</v>
      </c>
      <c r="L174" t="str">
        <f t="shared" si="29"/>
        <v/>
      </c>
    </row>
    <row r="175" spans="1:12" hidden="1">
      <c r="A175" t="str">
        <f>IF(Sheet1!A178="","",Sheet1!A178)</f>
        <v>Matchday 12</v>
      </c>
      <c r="C175" t="str">
        <f t="shared" si="22"/>
        <v/>
      </c>
      <c r="D175" t="str">
        <f t="shared" si="20"/>
        <v/>
      </c>
      <c r="E175" t="str">
        <f t="shared" si="23"/>
        <v/>
      </c>
      <c r="F175" t="str">
        <f t="shared" si="24"/>
        <v/>
      </c>
      <c r="G175" t="str">
        <f t="shared" si="25"/>
        <v/>
      </c>
      <c r="H175" t="str">
        <f t="shared" si="26"/>
        <v/>
      </c>
      <c r="I175" t="str">
        <f t="shared" si="21"/>
        <v/>
      </c>
      <c r="J175" t="str">
        <f t="shared" si="27"/>
        <v/>
      </c>
      <c r="K175" t="str">
        <f t="shared" si="28"/>
        <v>Matchday 11</v>
      </c>
      <c r="L175" t="str">
        <f t="shared" si="29"/>
        <v/>
      </c>
    </row>
    <row r="176" spans="1:12" hidden="1">
      <c r="A176" t="str">
        <f>IF(Sheet1!A179="","",Sheet1!A179)</f>
        <v>[Sat Dec/12]</v>
      </c>
      <c r="C176" t="str">
        <f t="shared" si="22"/>
        <v/>
      </c>
      <c r="D176" t="str">
        <f t="shared" si="20"/>
        <v/>
      </c>
      <c r="E176" t="str">
        <f t="shared" si="23"/>
        <v/>
      </c>
      <c r="F176" t="str">
        <f t="shared" si="24"/>
        <v/>
      </c>
      <c r="G176" t="str">
        <f t="shared" si="25"/>
        <v/>
      </c>
      <c r="H176" t="str">
        <f t="shared" si="26"/>
        <v/>
      </c>
      <c r="I176" t="str">
        <f t="shared" si="21"/>
        <v/>
      </c>
      <c r="J176" t="str">
        <f t="shared" si="27"/>
        <v/>
      </c>
      <c r="K176" t="str">
        <f t="shared" si="28"/>
        <v>Matchday 11</v>
      </c>
      <c r="L176" t="str">
        <f t="shared" si="29"/>
        <v/>
      </c>
    </row>
    <row r="177" spans="1:12">
      <c r="A177" t="str">
        <f>IF(Sheet1!A180="","",Sheet1!A180)</f>
        <v xml:space="preserve">  Arsenal FC               -  Burnley FC</v>
      </c>
      <c r="C177">
        <f t="shared" si="22"/>
        <v>11</v>
      </c>
      <c r="D177">
        <f t="shared" si="20"/>
        <v>28</v>
      </c>
      <c r="E177">
        <f t="shared" si="23"/>
        <v>39</v>
      </c>
      <c r="F177" t="str">
        <f t="shared" si="24"/>
        <v/>
      </c>
      <c r="G177" t="str">
        <f t="shared" si="25"/>
        <v xml:space="preserve">Arsenal FC </v>
      </c>
      <c r="H177" t="str">
        <f t="shared" si="26"/>
        <v xml:space="preserve"> - </v>
      </c>
      <c r="I177" t="str">
        <f t="shared" si="21"/>
        <v/>
      </c>
      <c r="J177" t="str">
        <f t="shared" si="27"/>
        <v>Burnley FC</v>
      </c>
      <c r="K177" t="str">
        <f t="shared" si="28"/>
        <v>Matchday 12</v>
      </c>
      <c r="L177" t="str">
        <f t="shared" si="29"/>
        <v>[Sat Dec/12]</v>
      </c>
    </row>
    <row r="178" spans="1:12">
      <c r="A178" t="str">
        <f>IF(Sheet1!A181="","",Sheet1!A181)</f>
        <v xml:space="preserve">  Crystal Palace FC        -  Tottenham Hotspur FC</v>
      </c>
      <c r="C178">
        <f t="shared" si="22"/>
        <v>18</v>
      </c>
      <c r="D178">
        <f t="shared" si="20"/>
        <v>28</v>
      </c>
      <c r="E178">
        <f t="shared" si="23"/>
        <v>49</v>
      </c>
      <c r="F178" t="str">
        <f t="shared" si="24"/>
        <v/>
      </c>
      <c r="G178" t="str">
        <f t="shared" si="25"/>
        <v xml:space="preserve">Crystal Palace FC </v>
      </c>
      <c r="H178" t="str">
        <f t="shared" si="26"/>
        <v xml:space="preserve"> - </v>
      </c>
      <c r="I178" t="str">
        <f t="shared" si="21"/>
        <v/>
      </c>
      <c r="J178" t="str">
        <f t="shared" si="27"/>
        <v>Tottenham Hotspur FC</v>
      </c>
      <c r="K178" t="str">
        <f t="shared" si="28"/>
        <v>Matchday 12</v>
      </c>
      <c r="L178" t="str">
        <f t="shared" si="29"/>
        <v>[Sat Dec/12]</v>
      </c>
    </row>
    <row r="179" spans="1:12">
      <c r="A179" t="str">
        <f>IF(Sheet1!A182="","",Sheet1!A182)</f>
        <v xml:space="preserve">  Everton FC               -  Chelsea FC</v>
      </c>
      <c r="C179">
        <f t="shared" si="22"/>
        <v>11</v>
      </c>
      <c r="D179">
        <f t="shared" si="20"/>
        <v>28</v>
      </c>
      <c r="E179">
        <f t="shared" si="23"/>
        <v>39</v>
      </c>
      <c r="F179" t="str">
        <f t="shared" si="24"/>
        <v/>
      </c>
      <c r="G179" t="str">
        <f t="shared" si="25"/>
        <v xml:space="preserve">Everton FC </v>
      </c>
      <c r="H179" t="str">
        <f t="shared" si="26"/>
        <v xml:space="preserve"> - </v>
      </c>
      <c r="I179" t="str">
        <f t="shared" si="21"/>
        <v/>
      </c>
      <c r="J179" t="str">
        <f t="shared" si="27"/>
        <v>Chelsea FC</v>
      </c>
      <c r="K179" t="str">
        <f t="shared" si="28"/>
        <v>Matchday 12</v>
      </c>
      <c r="L179" t="str">
        <f t="shared" si="29"/>
        <v>[Sat Dec/12]</v>
      </c>
    </row>
    <row r="180" spans="1:12">
      <c r="A180" t="str">
        <f>IF(Sheet1!A183="","",Sheet1!A183)</f>
        <v xml:space="preserve">  Fulham FC                -  Liverpool FC</v>
      </c>
      <c r="C180">
        <f t="shared" si="22"/>
        <v>10</v>
      </c>
      <c r="D180">
        <f t="shared" si="20"/>
        <v>28</v>
      </c>
      <c r="E180">
        <f t="shared" si="23"/>
        <v>41</v>
      </c>
      <c r="F180" t="str">
        <f t="shared" si="24"/>
        <v/>
      </c>
      <c r="G180" t="str">
        <f t="shared" si="25"/>
        <v xml:space="preserve">Fulham FC </v>
      </c>
      <c r="H180" t="str">
        <f t="shared" si="26"/>
        <v xml:space="preserve"> - </v>
      </c>
      <c r="I180" t="str">
        <f t="shared" si="21"/>
        <v/>
      </c>
      <c r="J180" t="str">
        <f t="shared" si="27"/>
        <v>Liverpool FC</v>
      </c>
      <c r="K180" t="str">
        <f t="shared" si="28"/>
        <v>Matchday 12</v>
      </c>
      <c r="L180" t="str">
        <f t="shared" si="29"/>
        <v>[Sat Dec/12]</v>
      </c>
    </row>
    <row r="181" spans="1:12">
      <c r="A181" t="str">
        <f>IF(Sheet1!A184="","",Sheet1!A184)</f>
        <v xml:space="preserve">  Leeds United FC          -  West Ham United FC</v>
      </c>
      <c r="C181">
        <f t="shared" si="22"/>
        <v>16</v>
      </c>
      <c r="D181">
        <f t="shared" si="20"/>
        <v>28</v>
      </c>
      <c r="E181">
        <f t="shared" si="23"/>
        <v>47</v>
      </c>
      <c r="F181" t="str">
        <f t="shared" si="24"/>
        <v/>
      </c>
      <c r="G181" t="str">
        <f t="shared" si="25"/>
        <v xml:space="preserve">Leeds United FC </v>
      </c>
      <c r="H181" t="str">
        <f t="shared" si="26"/>
        <v xml:space="preserve"> - </v>
      </c>
      <c r="I181" t="str">
        <f t="shared" si="21"/>
        <v/>
      </c>
      <c r="J181" t="str">
        <f t="shared" si="27"/>
        <v>West Ham United FC</v>
      </c>
      <c r="K181" t="str">
        <f t="shared" si="28"/>
        <v>Matchday 12</v>
      </c>
      <c r="L181" t="str">
        <f t="shared" si="29"/>
        <v>[Sat Dec/12]</v>
      </c>
    </row>
    <row r="182" spans="1:12">
      <c r="A182" t="str">
        <f>IF(Sheet1!A185="","",Sheet1!A185)</f>
        <v xml:space="preserve">  Leicester City FC        -  Brighton &amp; Hove Albion FC</v>
      </c>
      <c r="C182">
        <f t="shared" si="22"/>
        <v>18</v>
      </c>
      <c r="D182">
        <f t="shared" si="20"/>
        <v>28</v>
      </c>
      <c r="E182">
        <f t="shared" si="23"/>
        <v>54</v>
      </c>
      <c r="F182" t="str">
        <f t="shared" si="24"/>
        <v/>
      </c>
      <c r="G182" t="str">
        <f t="shared" si="25"/>
        <v xml:space="preserve">Leicester City FC </v>
      </c>
      <c r="H182" t="str">
        <f t="shared" si="26"/>
        <v xml:space="preserve"> - </v>
      </c>
      <c r="I182" t="str">
        <f t="shared" si="21"/>
        <v/>
      </c>
      <c r="J182" t="str">
        <f t="shared" si="27"/>
        <v>Brighton &amp; Hove Albion FC</v>
      </c>
      <c r="K182" t="str">
        <f t="shared" si="28"/>
        <v>Matchday 12</v>
      </c>
      <c r="L182" t="str">
        <f t="shared" si="29"/>
        <v>[Sat Dec/12]</v>
      </c>
    </row>
    <row r="183" spans="1:12">
      <c r="A183" t="str">
        <f>IF(Sheet1!A186="","",Sheet1!A186)</f>
        <v xml:space="preserve">  Manchester United        -  Manchester City FC</v>
      </c>
      <c r="C183">
        <f t="shared" si="22"/>
        <v>21</v>
      </c>
      <c r="D183">
        <f t="shared" si="20"/>
        <v>28</v>
      </c>
      <c r="E183">
        <f t="shared" si="23"/>
        <v>50</v>
      </c>
      <c r="F183" t="str">
        <f t="shared" si="24"/>
        <v/>
      </c>
      <c r="G183" t="str">
        <f t="shared" si="25"/>
        <v xml:space="preserve">Manchester United    </v>
      </c>
      <c r="H183" t="str">
        <f t="shared" si="26"/>
        <v xml:space="preserve"> - </v>
      </c>
      <c r="I183" t="str">
        <f t="shared" si="21"/>
        <v/>
      </c>
      <c r="J183" t="str">
        <f t="shared" si="27"/>
        <v>Manchester City FC</v>
      </c>
      <c r="K183" t="str">
        <f t="shared" si="28"/>
        <v>Matchday 12</v>
      </c>
      <c r="L183" t="str">
        <f t="shared" si="29"/>
        <v>[Sat Dec/12]</v>
      </c>
    </row>
    <row r="184" spans="1:12">
      <c r="A184" t="str">
        <f>IF(Sheet1!A187="","",Sheet1!A187)</f>
        <v xml:space="preserve">  Newcastle United FC      -  West Bromwich Albion FC</v>
      </c>
      <c r="C184">
        <f t="shared" si="22"/>
        <v>20</v>
      </c>
      <c r="D184">
        <f t="shared" si="20"/>
        <v>28</v>
      </c>
      <c r="E184">
        <f t="shared" si="23"/>
        <v>52</v>
      </c>
      <c r="F184" t="str">
        <f t="shared" si="24"/>
        <v/>
      </c>
      <c r="G184" t="str">
        <f t="shared" si="25"/>
        <v xml:space="preserve">Newcastle United FC </v>
      </c>
      <c r="H184" t="str">
        <f t="shared" si="26"/>
        <v xml:space="preserve"> - </v>
      </c>
      <c r="I184" t="str">
        <f t="shared" si="21"/>
        <v/>
      </c>
      <c r="J184" t="str">
        <f t="shared" si="27"/>
        <v>West Bromwich Albion FC</v>
      </c>
      <c r="K184" t="str">
        <f t="shared" si="28"/>
        <v>Matchday 12</v>
      </c>
      <c r="L184" t="str">
        <f t="shared" si="29"/>
        <v>[Sat Dec/12]</v>
      </c>
    </row>
    <row r="185" spans="1:12">
      <c r="A185" t="str">
        <f>IF(Sheet1!A188="","",Sheet1!A188)</f>
        <v xml:space="preserve">  Southampton FC           -  Sheffield United FC</v>
      </c>
      <c r="C185">
        <f t="shared" si="22"/>
        <v>15</v>
      </c>
      <c r="D185">
        <f t="shared" si="20"/>
        <v>28</v>
      </c>
      <c r="E185">
        <f t="shared" si="23"/>
        <v>48</v>
      </c>
      <c r="F185" t="str">
        <f t="shared" si="24"/>
        <v/>
      </c>
      <c r="G185" t="str">
        <f t="shared" si="25"/>
        <v xml:space="preserve">Southampton FC </v>
      </c>
      <c r="H185" t="str">
        <f t="shared" si="26"/>
        <v xml:space="preserve"> - </v>
      </c>
      <c r="I185" t="str">
        <f t="shared" si="21"/>
        <v/>
      </c>
      <c r="J185" t="str">
        <f t="shared" si="27"/>
        <v>Sheffield United FC</v>
      </c>
      <c r="K185" t="str">
        <f t="shared" si="28"/>
        <v>Matchday 12</v>
      </c>
      <c r="L185" t="str">
        <f t="shared" si="29"/>
        <v>[Sat Dec/12]</v>
      </c>
    </row>
    <row r="186" spans="1:12">
      <c r="A186" t="str">
        <f>IF(Sheet1!A189="","",Sheet1!A189)</f>
        <v xml:space="preserve">  Wolverhampton Wanderers FC  -  Aston Villa FC</v>
      </c>
      <c r="C186">
        <f t="shared" si="22"/>
        <v>27</v>
      </c>
      <c r="D186">
        <f t="shared" si="20"/>
        <v>31</v>
      </c>
      <c r="E186">
        <f t="shared" si="23"/>
        <v>46</v>
      </c>
      <c r="F186" t="str">
        <f t="shared" si="24"/>
        <v/>
      </c>
      <c r="G186" t="str">
        <f t="shared" si="25"/>
        <v xml:space="preserve">Wolverhampton Wanderers FC </v>
      </c>
      <c r="H186" t="str">
        <f t="shared" si="26"/>
        <v xml:space="preserve"> - </v>
      </c>
      <c r="I186" t="str">
        <f t="shared" si="21"/>
        <v/>
      </c>
      <c r="J186" t="str">
        <f t="shared" si="27"/>
        <v>Aston Villa FC</v>
      </c>
      <c r="K186" t="str">
        <f t="shared" si="28"/>
        <v>Matchday 12</v>
      </c>
      <c r="L186" t="str">
        <f t="shared" si="29"/>
        <v>[Sat Dec/12]</v>
      </c>
    </row>
    <row r="187" spans="1:12" hidden="1">
      <c r="A187" t="str">
        <f>IF(Sheet1!A190="","",Sheet1!A190)</f>
        <v/>
      </c>
      <c r="C187" t="str">
        <f t="shared" si="22"/>
        <v/>
      </c>
      <c r="D187" t="str">
        <f t="shared" si="20"/>
        <v/>
      </c>
      <c r="E187" t="str">
        <f t="shared" si="23"/>
        <v/>
      </c>
      <c r="F187" t="str">
        <f t="shared" si="24"/>
        <v/>
      </c>
      <c r="G187" t="str">
        <f t="shared" si="25"/>
        <v/>
      </c>
      <c r="H187" t="str">
        <f t="shared" si="26"/>
        <v/>
      </c>
      <c r="I187" t="str">
        <f t="shared" si="21"/>
        <v/>
      </c>
      <c r="J187" t="str">
        <f t="shared" si="27"/>
        <v/>
      </c>
      <c r="K187" t="str">
        <f t="shared" si="28"/>
        <v>Matchday 12</v>
      </c>
      <c r="L187" t="str">
        <f t="shared" si="29"/>
        <v/>
      </c>
    </row>
    <row r="188" spans="1:12" hidden="1">
      <c r="A188" t="str">
        <f>IF(Sheet1!A191="","",Sheet1!A191)</f>
        <v/>
      </c>
      <c r="C188" t="str">
        <f t="shared" si="22"/>
        <v/>
      </c>
      <c r="D188" t="str">
        <f t="shared" si="20"/>
        <v/>
      </c>
      <c r="E188" t="str">
        <f t="shared" si="23"/>
        <v/>
      </c>
      <c r="F188" t="str">
        <f t="shared" si="24"/>
        <v/>
      </c>
      <c r="G188" t="str">
        <f t="shared" si="25"/>
        <v/>
      </c>
      <c r="H188" t="str">
        <f t="shared" si="26"/>
        <v/>
      </c>
      <c r="I188" t="str">
        <f t="shared" si="21"/>
        <v/>
      </c>
      <c r="J188" t="str">
        <f t="shared" si="27"/>
        <v/>
      </c>
      <c r="K188" t="str">
        <f t="shared" si="28"/>
        <v>Matchday 12</v>
      </c>
      <c r="L188" t="str">
        <f t="shared" si="29"/>
        <v/>
      </c>
    </row>
    <row r="189" spans="1:12" hidden="1">
      <c r="A189" t="str">
        <f>IF(Sheet1!A192="","",Sheet1!A192)</f>
        <v>Matchday 13</v>
      </c>
      <c r="C189" t="str">
        <f t="shared" si="22"/>
        <v/>
      </c>
      <c r="D189" t="str">
        <f t="shared" si="20"/>
        <v/>
      </c>
      <c r="E189" t="str">
        <f t="shared" si="23"/>
        <v/>
      </c>
      <c r="F189" t="str">
        <f t="shared" si="24"/>
        <v/>
      </c>
      <c r="G189" t="str">
        <f t="shared" si="25"/>
        <v/>
      </c>
      <c r="H189" t="str">
        <f t="shared" si="26"/>
        <v/>
      </c>
      <c r="I189" t="str">
        <f t="shared" si="21"/>
        <v/>
      </c>
      <c r="J189" t="str">
        <f t="shared" si="27"/>
        <v/>
      </c>
      <c r="K189" t="str">
        <f t="shared" si="28"/>
        <v>Matchday 12</v>
      </c>
      <c r="L189" t="str">
        <f t="shared" si="29"/>
        <v/>
      </c>
    </row>
    <row r="190" spans="1:12" hidden="1">
      <c r="A190" t="str">
        <f>IF(Sheet1!A193="","",Sheet1!A193)</f>
        <v>[Tue Dec/15]</v>
      </c>
      <c r="C190" t="str">
        <f t="shared" si="22"/>
        <v/>
      </c>
      <c r="D190" t="str">
        <f t="shared" si="20"/>
        <v/>
      </c>
      <c r="E190" t="str">
        <f t="shared" si="23"/>
        <v/>
      </c>
      <c r="F190" t="str">
        <f t="shared" si="24"/>
        <v/>
      </c>
      <c r="G190" t="str">
        <f t="shared" si="25"/>
        <v/>
      </c>
      <c r="H190" t="str">
        <f t="shared" si="26"/>
        <v/>
      </c>
      <c r="I190" t="str">
        <f t="shared" si="21"/>
        <v/>
      </c>
      <c r="J190" t="str">
        <f t="shared" si="27"/>
        <v/>
      </c>
      <c r="K190" t="str">
        <f t="shared" si="28"/>
        <v>Matchday 12</v>
      </c>
      <c r="L190" t="str">
        <f t="shared" si="29"/>
        <v/>
      </c>
    </row>
    <row r="191" spans="1:12">
      <c r="A191" t="str">
        <f>IF(Sheet1!A194="","",Sheet1!A194)</f>
        <v xml:space="preserve">  19.45  Arsenal FC               -  Southampton FC</v>
      </c>
      <c r="C191">
        <f t="shared" si="22"/>
        <v>18</v>
      </c>
      <c r="D191">
        <f t="shared" si="20"/>
        <v>35</v>
      </c>
      <c r="E191">
        <f t="shared" si="23"/>
        <v>50</v>
      </c>
      <c r="F191" t="str">
        <f t="shared" si="24"/>
        <v>19.45</v>
      </c>
      <c r="G191" t="str">
        <f t="shared" si="25"/>
        <v>Arsenal FC</v>
      </c>
      <c r="H191" t="str">
        <f t="shared" si="26"/>
        <v xml:space="preserve"> - </v>
      </c>
      <c r="I191" t="str">
        <f t="shared" si="21"/>
        <v/>
      </c>
      <c r="J191" t="str">
        <f t="shared" si="27"/>
        <v>pton FC</v>
      </c>
      <c r="K191" t="str">
        <f t="shared" si="28"/>
        <v>Matchday 13</v>
      </c>
      <c r="L191" t="str">
        <f t="shared" si="29"/>
        <v>[Tue Dec/15]</v>
      </c>
    </row>
    <row r="192" spans="1:12">
      <c r="A192" t="str">
        <f>IF(Sheet1!A195="","",Sheet1!A195)</f>
        <v xml:space="preserve">         Aston Villa FC           -  Burnley FC</v>
      </c>
      <c r="C192">
        <f t="shared" si="22"/>
        <v>22</v>
      </c>
      <c r="D192">
        <f t="shared" si="20"/>
        <v>35</v>
      </c>
      <c r="E192">
        <f t="shared" si="23"/>
        <v>46</v>
      </c>
      <c r="F192" t="str">
        <f t="shared" si="24"/>
        <v/>
      </c>
      <c r="G192" t="str">
        <f t="shared" si="25"/>
        <v xml:space="preserve">       Aston Villa FC </v>
      </c>
      <c r="H192" t="str">
        <f t="shared" si="26"/>
        <v xml:space="preserve"> - </v>
      </c>
      <c r="I192" t="str">
        <f t="shared" si="21"/>
        <v/>
      </c>
      <c r="J192" t="str">
        <f t="shared" si="27"/>
        <v>Burnley FC</v>
      </c>
      <c r="K192" t="str">
        <f t="shared" si="28"/>
        <v>Matchday 13</v>
      </c>
      <c r="L192" t="str">
        <f t="shared" si="29"/>
        <v>[Tue Dec/15]</v>
      </c>
    </row>
    <row r="193" spans="1:12">
      <c r="A193" t="str">
        <f>IF(Sheet1!A196="","",Sheet1!A196)</f>
        <v xml:space="preserve">         Fulham FC                -  Brighton &amp; Hove Albion FC</v>
      </c>
      <c r="C193">
        <f t="shared" si="22"/>
        <v>17</v>
      </c>
      <c r="D193">
        <f t="shared" si="20"/>
        <v>35</v>
      </c>
      <c r="E193">
        <f t="shared" si="23"/>
        <v>61</v>
      </c>
      <c r="F193" t="str">
        <f t="shared" si="24"/>
        <v/>
      </c>
      <c r="G193" t="str">
        <f t="shared" si="25"/>
        <v xml:space="preserve">       Fulham FC </v>
      </c>
      <c r="H193" t="str">
        <f t="shared" si="26"/>
        <v xml:space="preserve"> - </v>
      </c>
      <c r="I193" t="str">
        <f t="shared" si="21"/>
        <v/>
      </c>
      <c r="J193" t="str">
        <f t="shared" si="27"/>
        <v>Brighton &amp; Hove Albion FC</v>
      </c>
      <c r="K193" t="str">
        <f t="shared" si="28"/>
        <v>Matchday 13</v>
      </c>
      <c r="L193" t="str">
        <f t="shared" si="29"/>
        <v>[Tue Dec/15]</v>
      </c>
    </row>
    <row r="194" spans="1:12">
      <c r="A194" t="str">
        <f>IF(Sheet1!A197="","",Sheet1!A197)</f>
        <v xml:space="preserve">         Leeds United FC          -  Newcastle United FC</v>
      </c>
      <c r="C194">
        <f t="shared" si="22"/>
        <v>23</v>
      </c>
      <c r="D194">
        <f t="shared" si="20"/>
        <v>35</v>
      </c>
      <c r="E194">
        <f t="shared" si="23"/>
        <v>55</v>
      </c>
      <c r="F194" t="str">
        <f t="shared" si="24"/>
        <v/>
      </c>
      <c r="G194" t="str">
        <f t="shared" si="25"/>
        <v xml:space="preserve">       Leeds United FC </v>
      </c>
      <c r="H194" t="str">
        <f t="shared" si="26"/>
        <v xml:space="preserve"> - </v>
      </c>
      <c r="I194" t="str">
        <f t="shared" si="21"/>
        <v/>
      </c>
      <c r="J194" t="str">
        <f t="shared" si="27"/>
        <v>Newcastle United FC</v>
      </c>
      <c r="K194" t="str">
        <f t="shared" si="28"/>
        <v>Matchday 13</v>
      </c>
      <c r="L194" t="str">
        <f t="shared" si="29"/>
        <v>[Tue Dec/15]</v>
      </c>
    </row>
    <row r="195" spans="1:12">
      <c r="A195" t="str">
        <f>IF(Sheet1!A198="","",Sheet1!A198)</f>
        <v xml:space="preserve">         Leicester City FC        -  Everton FC</v>
      </c>
      <c r="C195">
        <f t="shared" si="22"/>
        <v>25</v>
      </c>
      <c r="D195">
        <f t="shared" ref="D195:D258" si="30">IFERROR(FIND("-",A195),"")</f>
        <v>35</v>
      </c>
      <c r="E195">
        <f t="shared" si="23"/>
        <v>46</v>
      </c>
      <c r="F195" t="str">
        <f t="shared" si="24"/>
        <v/>
      </c>
      <c r="G195" t="str">
        <f t="shared" si="25"/>
        <v xml:space="preserve">       Leicester City FC </v>
      </c>
      <c r="H195" t="str">
        <f t="shared" si="26"/>
        <v xml:space="preserve"> - </v>
      </c>
      <c r="I195" t="str">
        <f t="shared" ref="I195:I258" si="31">IFERROR(IF(LEFT(H195,1)=" ","",MID(A195,D195+4,3)),"")</f>
        <v/>
      </c>
      <c r="J195" t="str">
        <f t="shared" si="27"/>
        <v>Everton FC</v>
      </c>
      <c r="K195" t="str">
        <f t="shared" si="28"/>
        <v>Matchday 13</v>
      </c>
      <c r="L195" t="str">
        <f t="shared" si="29"/>
        <v>[Tue Dec/15]</v>
      </c>
    </row>
    <row r="196" spans="1:12">
      <c r="A196" t="str">
        <f>IF(Sheet1!A199="","",Sheet1!A199)</f>
        <v xml:space="preserve">         Sheffield United FC      -  Manchester United</v>
      </c>
      <c r="C196">
        <f t="shared" ref="C196:C259" si="32">IFERROR(FIND("FC",SUBSTITUTE(A196,"Manchester United","Manchester United FC")),"")</f>
        <v>27</v>
      </c>
      <c r="D196">
        <f t="shared" si="30"/>
        <v>35</v>
      </c>
      <c r="E196">
        <f t="shared" ref="E196:E259" si="33">IFERROR(FIND("FC",SUBSTITUTE(A196,"Manchester United","Manchester United FC"),D196),"")</f>
        <v>56</v>
      </c>
      <c r="F196" t="str">
        <f t="shared" ref="F196:F259" si="34">IFERROR(IF(VALUE(MID($A196,3,2))&lt;25,MID($A196,3,5),""),"")</f>
        <v/>
      </c>
      <c r="G196" t="str">
        <f t="shared" ref="G196:G259" si="35">IFERROR(IFERROR(IF(VALUE(MID($A196,3,2))&lt;25,MID($A196,10,C196-8),""),MID(A196,3,C196)),"")</f>
        <v xml:space="preserve">       Sheffield United FC </v>
      </c>
      <c r="H196" t="str">
        <f t="shared" ref="H196:H259" si="36">IFERROR(MID(A196,D196-1,3),"")</f>
        <v xml:space="preserve"> - </v>
      </c>
      <c r="I196" t="str">
        <f t="shared" si="31"/>
        <v/>
      </c>
      <c r="J196" t="str">
        <f t="shared" ref="J196:J259" si="37">IFERROR(IFERROR(IF(VALUE(MID($A196,3,2))&lt;25,MID($A196,D196+10,E196-8),""),MID(A196,D196+3,E196)),"")</f>
        <v>Manchester United</v>
      </c>
      <c r="K196" t="str">
        <f t="shared" ref="K196:K259" si="38">IF(LEFT(A194,8)="Matchday",A194,K195)</f>
        <v>Matchday 13</v>
      </c>
      <c r="L196" t="str">
        <f t="shared" ref="L196:L259" si="39">IF(C196="","",IF(LEFT(A195,1)="[",A195,L195))</f>
        <v>[Tue Dec/15]</v>
      </c>
    </row>
    <row r="197" spans="1:12">
      <c r="A197" t="str">
        <f>IF(Sheet1!A200="","",Sheet1!A200)</f>
        <v xml:space="preserve">         West Ham United FC       -  Crystal Palace FC</v>
      </c>
      <c r="C197">
        <f t="shared" si="32"/>
        <v>26</v>
      </c>
      <c r="D197">
        <f t="shared" si="30"/>
        <v>35</v>
      </c>
      <c r="E197">
        <f t="shared" si="33"/>
        <v>53</v>
      </c>
      <c r="F197" t="str">
        <f t="shared" si="34"/>
        <v/>
      </c>
      <c r="G197" t="str">
        <f t="shared" si="35"/>
        <v xml:space="preserve">       West Ham United FC </v>
      </c>
      <c r="H197" t="str">
        <f t="shared" si="36"/>
        <v xml:space="preserve"> - </v>
      </c>
      <c r="I197" t="str">
        <f t="shared" si="31"/>
        <v/>
      </c>
      <c r="J197" t="str">
        <f t="shared" si="37"/>
        <v>Crystal Palace FC</v>
      </c>
      <c r="K197" t="str">
        <f t="shared" si="38"/>
        <v>Matchday 13</v>
      </c>
      <c r="L197" t="str">
        <f t="shared" si="39"/>
        <v>[Tue Dec/15]</v>
      </c>
    </row>
    <row r="198" spans="1:12">
      <c r="A198" t="str">
        <f>IF(Sheet1!A201="","",Sheet1!A201)</f>
        <v xml:space="preserve">         Wolverhampton Wanderers FC  -  Chelsea FC</v>
      </c>
      <c r="C198">
        <f t="shared" si="32"/>
        <v>34</v>
      </c>
      <c r="D198">
        <f t="shared" si="30"/>
        <v>38</v>
      </c>
      <c r="E198">
        <f t="shared" si="33"/>
        <v>49</v>
      </c>
      <c r="F198" t="str">
        <f t="shared" si="34"/>
        <v/>
      </c>
      <c r="G198" t="str">
        <f t="shared" si="35"/>
        <v xml:space="preserve">       Wolverhampton Wanderers FC </v>
      </c>
      <c r="H198" t="str">
        <f t="shared" si="36"/>
        <v xml:space="preserve"> - </v>
      </c>
      <c r="I198" t="str">
        <f t="shared" si="31"/>
        <v/>
      </c>
      <c r="J198" t="str">
        <f t="shared" si="37"/>
        <v>Chelsea FC</v>
      </c>
      <c r="K198" t="str">
        <f t="shared" si="38"/>
        <v>Matchday 13</v>
      </c>
      <c r="L198" t="str">
        <f t="shared" si="39"/>
        <v>[Tue Dec/15]</v>
      </c>
    </row>
    <row r="199" spans="1:12" hidden="1">
      <c r="A199" t="str">
        <f>IF(Sheet1!A202="","",Sheet1!A202)</f>
        <v>[Wed Dec/16]</v>
      </c>
      <c r="C199" t="str">
        <f t="shared" si="32"/>
        <v/>
      </c>
      <c r="D199" t="str">
        <f t="shared" si="30"/>
        <v/>
      </c>
      <c r="E199" t="str">
        <f t="shared" si="33"/>
        <v/>
      </c>
      <c r="F199" t="str">
        <f t="shared" si="34"/>
        <v/>
      </c>
      <c r="G199" t="str">
        <f t="shared" si="35"/>
        <v/>
      </c>
      <c r="H199" t="str">
        <f t="shared" si="36"/>
        <v/>
      </c>
      <c r="I199" t="str">
        <f t="shared" si="31"/>
        <v/>
      </c>
      <c r="J199" t="str">
        <f t="shared" si="37"/>
        <v/>
      </c>
      <c r="K199" t="str">
        <f t="shared" si="38"/>
        <v>Matchday 13</v>
      </c>
      <c r="L199" t="str">
        <f t="shared" si="39"/>
        <v/>
      </c>
    </row>
    <row r="200" spans="1:12">
      <c r="A200" t="str">
        <f>IF(Sheet1!A203="","",Sheet1!A203)</f>
        <v xml:space="preserve">  20.00  Liverpool FC             -  Tottenham Hotspur FC</v>
      </c>
      <c r="C200">
        <f t="shared" si="32"/>
        <v>20</v>
      </c>
      <c r="D200">
        <f t="shared" si="30"/>
        <v>35</v>
      </c>
      <c r="E200">
        <f t="shared" si="33"/>
        <v>56</v>
      </c>
      <c r="F200" t="str">
        <f t="shared" si="34"/>
        <v>20.00</v>
      </c>
      <c r="G200" t="str">
        <f t="shared" si="35"/>
        <v>Liverpool FC</v>
      </c>
      <c r="H200" t="str">
        <f t="shared" si="36"/>
        <v xml:space="preserve"> - </v>
      </c>
      <c r="I200" t="str">
        <f t="shared" si="31"/>
        <v/>
      </c>
      <c r="J200" t="str">
        <f t="shared" si="37"/>
        <v>am Hotspur FC</v>
      </c>
      <c r="K200" t="str">
        <f t="shared" si="38"/>
        <v>Matchday 13</v>
      </c>
      <c r="L200" t="str">
        <f t="shared" si="39"/>
        <v>[Wed Dec/16]</v>
      </c>
    </row>
    <row r="201" spans="1:12">
      <c r="A201" t="str">
        <f>IF(Sheet1!A204="","",Sheet1!A204)</f>
        <v xml:space="preserve">         Manchester City FC       -  West Bromwich Albion FC</v>
      </c>
      <c r="C201">
        <f t="shared" si="32"/>
        <v>26</v>
      </c>
      <c r="D201">
        <f t="shared" si="30"/>
        <v>35</v>
      </c>
      <c r="E201">
        <f t="shared" si="33"/>
        <v>59</v>
      </c>
      <c r="F201" t="str">
        <f t="shared" si="34"/>
        <v/>
      </c>
      <c r="G201" t="str">
        <f t="shared" si="35"/>
        <v xml:space="preserve">       Manchester City FC </v>
      </c>
      <c r="H201" t="str">
        <f t="shared" si="36"/>
        <v xml:space="preserve"> - </v>
      </c>
      <c r="I201" t="str">
        <f t="shared" si="31"/>
        <v/>
      </c>
      <c r="J201" t="str">
        <f t="shared" si="37"/>
        <v>West Bromwich Albion FC</v>
      </c>
      <c r="K201" t="str">
        <f t="shared" si="38"/>
        <v>Matchday 13</v>
      </c>
      <c r="L201" t="str">
        <f t="shared" si="39"/>
        <v>[Wed Dec/16]</v>
      </c>
    </row>
    <row r="202" spans="1:12" hidden="1">
      <c r="A202" t="str">
        <f>IF(Sheet1!A205="","",Sheet1!A205)</f>
        <v/>
      </c>
      <c r="C202" t="str">
        <f t="shared" si="32"/>
        <v/>
      </c>
      <c r="D202" t="str">
        <f t="shared" si="30"/>
        <v/>
      </c>
      <c r="E202" t="str">
        <f t="shared" si="33"/>
        <v/>
      </c>
      <c r="F202" t="str">
        <f t="shared" si="34"/>
        <v/>
      </c>
      <c r="G202" t="str">
        <f t="shared" si="35"/>
        <v/>
      </c>
      <c r="H202" t="str">
        <f t="shared" si="36"/>
        <v/>
      </c>
      <c r="I202" t="str">
        <f t="shared" si="31"/>
        <v/>
      </c>
      <c r="J202" t="str">
        <f t="shared" si="37"/>
        <v/>
      </c>
      <c r="K202" t="str">
        <f t="shared" si="38"/>
        <v>Matchday 13</v>
      </c>
      <c r="L202" t="str">
        <f t="shared" si="39"/>
        <v/>
      </c>
    </row>
    <row r="203" spans="1:12" hidden="1">
      <c r="A203" t="str">
        <f>IF(Sheet1!A206="","",Sheet1!A206)</f>
        <v/>
      </c>
      <c r="C203" t="str">
        <f t="shared" si="32"/>
        <v/>
      </c>
      <c r="D203" t="str">
        <f t="shared" si="30"/>
        <v/>
      </c>
      <c r="E203" t="str">
        <f t="shared" si="33"/>
        <v/>
      </c>
      <c r="F203" t="str">
        <f t="shared" si="34"/>
        <v/>
      </c>
      <c r="G203" t="str">
        <f t="shared" si="35"/>
        <v/>
      </c>
      <c r="H203" t="str">
        <f t="shared" si="36"/>
        <v/>
      </c>
      <c r="I203" t="str">
        <f t="shared" si="31"/>
        <v/>
      </c>
      <c r="J203" t="str">
        <f t="shared" si="37"/>
        <v/>
      </c>
      <c r="K203" t="str">
        <f t="shared" si="38"/>
        <v>Matchday 13</v>
      </c>
      <c r="L203" t="str">
        <f t="shared" si="39"/>
        <v/>
      </c>
    </row>
    <row r="204" spans="1:12" hidden="1">
      <c r="A204" t="str">
        <f>IF(Sheet1!A207="","",Sheet1!A207)</f>
        <v>Matchday 14</v>
      </c>
      <c r="C204" t="str">
        <f t="shared" si="32"/>
        <v/>
      </c>
      <c r="D204" t="str">
        <f t="shared" si="30"/>
        <v/>
      </c>
      <c r="E204" t="str">
        <f t="shared" si="33"/>
        <v/>
      </c>
      <c r="F204" t="str">
        <f t="shared" si="34"/>
        <v/>
      </c>
      <c r="G204" t="str">
        <f t="shared" si="35"/>
        <v/>
      </c>
      <c r="H204" t="str">
        <f t="shared" si="36"/>
        <v/>
      </c>
      <c r="I204" t="str">
        <f t="shared" si="31"/>
        <v/>
      </c>
      <c r="J204" t="str">
        <f t="shared" si="37"/>
        <v/>
      </c>
      <c r="K204" t="str">
        <f t="shared" si="38"/>
        <v>Matchday 13</v>
      </c>
      <c r="L204" t="str">
        <f t="shared" si="39"/>
        <v/>
      </c>
    </row>
    <row r="205" spans="1:12" hidden="1">
      <c r="A205" t="str">
        <f>IF(Sheet1!A208="","",Sheet1!A208)</f>
        <v>[Sat Dec/19]</v>
      </c>
      <c r="C205" t="str">
        <f t="shared" si="32"/>
        <v/>
      </c>
      <c r="D205" t="str">
        <f t="shared" si="30"/>
        <v/>
      </c>
      <c r="E205" t="str">
        <f t="shared" si="33"/>
        <v/>
      </c>
      <c r="F205" t="str">
        <f t="shared" si="34"/>
        <v/>
      </c>
      <c r="G205" t="str">
        <f t="shared" si="35"/>
        <v/>
      </c>
      <c r="H205" t="str">
        <f t="shared" si="36"/>
        <v/>
      </c>
      <c r="I205" t="str">
        <f t="shared" si="31"/>
        <v/>
      </c>
      <c r="J205" t="str">
        <f t="shared" si="37"/>
        <v/>
      </c>
      <c r="K205" t="str">
        <f t="shared" si="38"/>
        <v>Matchday 13</v>
      </c>
      <c r="L205" t="str">
        <f t="shared" si="39"/>
        <v/>
      </c>
    </row>
    <row r="206" spans="1:12">
      <c r="A206" t="str">
        <f>IF(Sheet1!A209="","",Sheet1!A209)</f>
        <v xml:space="preserve">  Brighton &amp; Hove Albion FC  -  Sheffield United FC</v>
      </c>
      <c r="C206">
        <f t="shared" si="32"/>
        <v>26</v>
      </c>
      <c r="D206">
        <f t="shared" si="30"/>
        <v>30</v>
      </c>
      <c r="E206">
        <f t="shared" si="33"/>
        <v>50</v>
      </c>
      <c r="F206" t="str">
        <f t="shared" si="34"/>
        <v/>
      </c>
      <c r="G206" t="str">
        <f t="shared" si="35"/>
        <v xml:space="preserve">Brighton &amp; Hove Albion FC </v>
      </c>
      <c r="H206" t="str">
        <f t="shared" si="36"/>
        <v xml:space="preserve"> - </v>
      </c>
      <c r="I206" t="str">
        <f t="shared" si="31"/>
        <v/>
      </c>
      <c r="J206" t="str">
        <f t="shared" si="37"/>
        <v>Sheffield United FC</v>
      </c>
      <c r="K206" t="str">
        <f t="shared" si="38"/>
        <v>Matchday 14</v>
      </c>
      <c r="L206" t="str">
        <f t="shared" si="39"/>
        <v>[Sat Dec/19]</v>
      </c>
    </row>
    <row r="207" spans="1:12">
      <c r="A207" t="str">
        <f>IF(Sheet1!A210="","",Sheet1!A210)</f>
        <v xml:space="preserve">  Burnley FC               -  Wolverhampton Wanderers FC</v>
      </c>
      <c r="C207">
        <f t="shared" si="32"/>
        <v>11</v>
      </c>
      <c r="D207">
        <f t="shared" si="30"/>
        <v>28</v>
      </c>
      <c r="E207">
        <f t="shared" si="33"/>
        <v>55</v>
      </c>
      <c r="F207" t="str">
        <f t="shared" si="34"/>
        <v/>
      </c>
      <c r="G207" t="str">
        <f t="shared" si="35"/>
        <v xml:space="preserve">Burnley FC </v>
      </c>
      <c r="H207" t="str">
        <f t="shared" si="36"/>
        <v xml:space="preserve"> - </v>
      </c>
      <c r="I207" t="str">
        <f t="shared" si="31"/>
        <v/>
      </c>
      <c r="J207" t="str">
        <f t="shared" si="37"/>
        <v>Wolverhampton Wanderers FC</v>
      </c>
      <c r="K207" t="str">
        <f t="shared" si="38"/>
        <v>Matchday 14</v>
      </c>
      <c r="L207" t="str">
        <f t="shared" si="39"/>
        <v>[Sat Dec/19]</v>
      </c>
    </row>
    <row r="208" spans="1:12">
      <c r="A208" t="str">
        <f>IF(Sheet1!A211="","",Sheet1!A211)</f>
        <v xml:space="preserve">  Chelsea FC               -  West Ham United FC</v>
      </c>
      <c r="C208">
        <f t="shared" si="32"/>
        <v>11</v>
      </c>
      <c r="D208">
        <f t="shared" si="30"/>
        <v>28</v>
      </c>
      <c r="E208">
        <f t="shared" si="33"/>
        <v>47</v>
      </c>
      <c r="F208" t="str">
        <f t="shared" si="34"/>
        <v/>
      </c>
      <c r="G208" t="str">
        <f t="shared" si="35"/>
        <v xml:space="preserve">Chelsea FC </v>
      </c>
      <c r="H208" t="str">
        <f t="shared" si="36"/>
        <v xml:space="preserve"> - </v>
      </c>
      <c r="I208" t="str">
        <f t="shared" si="31"/>
        <v/>
      </c>
      <c r="J208" t="str">
        <f t="shared" si="37"/>
        <v>West Ham United FC</v>
      </c>
      <c r="K208" t="str">
        <f t="shared" si="38"/>
        <v>Matchday 14</v>
      </c>
      <c r="L208" t="str">
        <f t="shared" si="39"/>
        <v>[Sat Dec/19]</v>
      </c>
    </row>
    <row r="209" spans="1:12">
      <c r="A209" t="str">
        <f>IF(Sheet1!A212="","",Sheet1!A212)</f>
        <v xml:space="preserve">  Crystal Palace FC        -  Liverpool FC</v>
      </c>
      <c r="C209">
        <f t="shared" si="32"/>
        <v>18</v>
      </c>
      <c r="D209">
        <f t="shared" si="30"/>
        <v>28</v>
      </c>
      <c r="E209">
        <f t="shared" si="33"/>
        <v>41</v>
      </c>
      <c r="F209" t="str">
        <f t="shared" si="34"/>
        <v/>
      </c>
      <c r="G209" t="str">
        <f t="shared" si="35"/>
        <v xml:space="preserve">Crystal Palace FC </v>
      </c>
      <c r="H209" t="str">
        <f t="shared" si="36"/>
        <v xml:space="preserve"> - </v>
      </c>
      <c r="I209" t="str">
        <f t="shared" si="31"/>
        <v/>
      </c>
      <c r="J209" t="str">
        <f t="shared" si="37"/>
        <v>Liverpool FC</v>
      </c>
      <c r="K209" t="str">
        <f t="shared" si="38"/>
        <v>Matchday 14</v>
      </c>
      <c r="L209" t="str">
        <f t="shared" si="39"/>
        <v>[Sat Dec/19]</v>
      </c>
    </row>
    <row r="210" spans="1:12">
      <c r="A210" t="str">
        <f>IF(Sheet1!A213="","",Sheet1!A213)</f>
        <v xml:space="preserve">  Everton FC               -  Arsenal FC</v>
      </c>
      <c r="C210">
        <f t="shared" si="32"/>
        <v>11</v>
      </c>
      <c r="D210">
        <f t="shared" si="30"/>
        <v>28</v>
      </c>
      <c r="E210">
        <f t="shared" si="33"/>
        <v>39</v>
      </c>
      <c r="F210" t="str">
        <f t="shared" si="34"/>
        <v/>
      </c>
      <c r="G210" t="str">
        <f t="shared" si="35"/>
        <v xml:space="preserve">Everton FC </v>
      </c>
      <c r="H210" t="str">
        <f t="shared" si="36"/>
        <v xml:space="preserve"> - </v>
      </c>
      <c r="I210" t="str">
        <f t="shared" si="31"/>
        <v/>
      </c>
      <c r="J210" t="str">
        <f t="shared" si="37"/>
        <v>Arsenal FC</v>
      </c>
      <c r="K210" t="str">
        <f t="shared" si="38"/>
        <v>Matchday 14</v>
      </c>
      <c r="L210" t="str">
        <f t="shared" si="39"/>
        <v>[Sat Dec/19]</v>
      </c>
    </row>
    <row r="211" spans="1:12">
      <c r="A211" t="str">
        <f>IF(Sheet1!A214="","",Sheet1!A214)</f>
        <v xml:space="preserve">  Manchester United        -  Leeds United FC</v>
      </c>
      <c r="C211">
        <f t="shared" si="32"/>
        <v>21</v>
      </c>
      <c r="D211">
        <f t="shared" si="30"/>
        <v>28</v>
      </c>
      <c r="E211">
        <f t="shared" si="33"/>
        <v>47</v>
      </c>
      <c r="F211" t="str">
        <f t="shared" si="34"/>
        <v/>
      </c>
      <c r="G211" t="str">
        <f t="shared" si="35"/>
        <v xml:space="preserve">Manchester United    </v>
      </c>
      <c r="H211" t="str">
        <f t="shared" si="36"/>
        <v xml:space="preserve"> - </v>
      </c>
      <c r="I211" t="str">
        <f t="shared" si="31"/>
        <v/>
      </c>
      <c r="J211" t="str">
        <f t="shared" si="37"/>
        <v>Leeds United FC</v>
      </c>
      <c r="K211" t="str">
        <f t="shared" si="38"/>
        <v>Matchday 14</v>
      </c>
      <c r="L211" t="str">
        <f t="shared" si="39"/>
        <v>[Sat Dec/19]</v>
      </c>
    </row>
    <row r="212" spans="1:12">
      <c r="A212" t="str">
        <f>IF(Sheet1!A215="","",Sheet1!A215)</f>
        <v xml:space="preserve">  Newcastle United FC      -  Fulham FC</v>
      </c>
      <c r="C212">
        <f t="shared" si="32"/>
        <v>20</v>
      </c>
      <c r="D212">
        <f t="shared" si="30"/>
        <v>28</v>
      </c>
      <c r="E212">
        <f t="shared" si="33"/>
        <v>38</v>
      </c>
      <c r="F212" t="str">
        <f t="shared" si="34"/>
        <v/>
      </c>
      <c r="G212" t="str">
        <f t="shared" si="35"/>
        <v xml:space="preserve">Newcastle United FC </v>
      </c>
      <c r="H212" t="str">
        <f t="shared" si="36"/>
        <v xml:space="preserve"> - </v>
      </c>
      <c r="I212" t="str">
        <f t="shared" si="31"/>
        <v/>
      </c>
      <c r="J212" t="str">
        <f t="shared" si="37"/>
        <v>Fulham FC</v>
      </c>
      <c r="K212" t="str">
        <f t="shared" si="38"/>
        <v>Matchday 14</v>
      </c>
      <c r="L212" t="str">
        <f t="shared" si="39"/>
        <v>[Sat Dec/19]</v>
      </c>
    </row>
    <row r="213" spans="1:12">
      <c r="A213" t="str">
        <f>IF(Sheet1!A216="","",Sheet1!A216)</f>
        <v xml:space="preserve">  Southampton FC           -  Manchester City FC</v>
      </c>
      <c r="C213">
        <f t="shared" si="32"/>
        <v>15</v>
      </c>
      <c r="D213">
        <f t="shared" si="30"/>
        <v>28</v>
      </c>
      <c r="E213">
        <f t="shared" si="33"/>
        <v>47</v>
      </c>
      <c r="F213" t="str">
        <f t="shared" si="34"/>
        <v/>
      </c>
      <c r="G213" t="str">
        <f t="shared" si="35"/>
        <v xml:space="preserve">Southampton FC </v>
      </c>
      <c r="H213" t="str">
        <f t="shared" si="36"/>
        <v xml:space="preserve"> - </v>
      </c>
      <c r="I213" t="str">
        <f t="shared" si="31"/>
        <v/>
      </c>
      <c r="J213" t="str">
        <f t="shared" si="37"/>
        <v>Manchester City FC</v>
      </c>
      <c r="K213" t="str">
        <f t="shared" si="38"/>
        <v>Matchday 14</v>
      </c>
      <c r="L213" t="str">
        <f t="shared" si="39"/>
        <v>[Sat Dec/19]</v>
      </c>
    </row>
    <row r="214" spans="1:12">
      <c r="A214" t="str">
        <f>IF(Sheet1!A217="","",Sheet1!A217)</f>
        <v xml:space="preserve">  Tottenham Hotspur FC     -  Leicester City FC</v>
      </c>
      <c r="C214">
        <f t="shared" si="32"/>
        <v>21</v>
      </c>
      <c r="D214">
        <f t="shared" si="30"/>
        <v>28</v>
      </c>
      <c r="E214">
        <f t="shared" si="33"/>
        <v>46</v>
      </c>
      <c r="F214" t="str">
        <f t="shared" si="34"/>
        <v/>
      </c>
      <c r="G214" t="str">
        <f t="shared" si="35"/>
        <v xml:space="preserve">Tottenham Hotspur FC </v>
      </c>
      <c r="H214" t="str">
        <f t="shared" si="36"/>
        <v xml:space="preserve"> - </v>
      </c>
      <c r="I214" t="str">
        <f t="shared" si="31"/>
        <v/>
      </c>
      <c r="J214" t="str">
        <f t="shared" si="37"/>
        <v>Leicester City FC</v>
      </c>
      <c r="K214" t="str">
        <f t="shared" si="38"/>
        <v>Matchday 14</v>
      </c>
      <c r="L214" t="str">
        <f t="shared" si="39"/>
        <v>[Sat Dec/19]</v>
      </c>
    </row>
    <row r="215" spans="1:12">
      <c r="A215" t="str">
        <f>IF(Sheet1!A218="","",Sheet1!A218)</f>
        <v xml:space="preserve">  West Bromwich Albion FC  -  Aston Villa FC</v>
      </c>
      <c r="C215">
        <f t="shared" si="32"/>
        <v>24</v>
      </c>
      <c r="D215">
        <f t="shared" si="30"/>
        <v>28</v>
      </c>
      <c r="E215">
        <f t="shared" si="33"/>
        <v>43</v>
      </c>
      <c r="F215" t="str">
        <f t="shared" si="34"/>
        <v/>
      </c>
      <c r="G215" t="str">
        <f t="shared" si="35"/>
        <v xml:space="preserve">West Bromwich Albion FC </v>
      </c>
      <c r="H215" t="str">
        <f t="shared" si="36"/>
        <v xml:space="preserve"> - </v>
      </c>
      <c r="I215" t="str">
        <f t="shared" si="31"/>
        <v/>
      </c>
      <c r="J215" t="str">
        <f t="shared" si="37"/>
        <v>Aston Villa FC</v>
      </c>
      <c r="K215" t="str">
        <f t="shared" si="38"/>
        <v>Matchday 14</v>
      </c>
      <c r="L215" t="str">
        <f t="shared" si="39"/>
        <v>[Sat Dec/19]</v>
      </c>
    </row>
    <row r="216" spans="1:12" hidden="1">
      <c r="A216" t="str">
        <f>IF(Sheet1!A219="","",Sheet1!A219)</f>
        <v/>
      </c>
      <c r="C216" t="str">
        <f t="shared" si="32"/>
        <v/>
      </c>
      <c r="D216" t="str">
        <f t="shared" si="30"/>
        <v/>
      </c>
      <c r="E216" t="str">
        <f t="shared" si="33"/>
        <v/>
      </c>
      <c r="F216" t="str">
        <f t="shared" si="34"/>
        <v/>
      </c>
      <c r="G216" t="str">
        <f t="shared" si="35"/>
        <v/>
      </c>
      <c r="H216" t="str">
        <f t="shared" si="36"/>
        <v/>
      </c>
      <c r="I216" t="str">
        <f t="shared" si="31"/>
        <v/>
      </c>
      <c r="J216" t="str">
        <f t="shared" si="37"/>
        <v/>
      </c>
      <c r="K216" t="str">
        <f t="shared" si="38"/>
        <v>Matchday 14</v>
      </c>
      <c r="L216" t="str">
        <f t="shared" si="39"/>
        <v/>
      </c>
    </row>
    <row r="217" spans="1:12" hidden="1">
      <c r="A217" t="str">
        <f>IF(Sheet1!A220="","",Sheet1!A220)</f>
        <v/>
      </c>
      <c r="C217" t="str">
        <f t="shared" si="32"/>
        <v/>
      </c>
      <c r="D217" t="str">
        <f t="shared" si="30"/>
        <v/>
      </c>
      <c r="E217" t="str">
        <f t="shared" si="33"/>
        <v/>
      </c>
      <c r="F217" t="str">
        <f t="shared" si="34"/>
        <v/>
      </c>
      <c r="G217" t="str">
        <f t="shared" si="35"/>
        <v/>
      </c>
      <c r="H217" t="str">
        <f t="shared" si="36"/>
        <v/>
      </c>
      <c r="I217" t="str">
        <f t="shared" si="31"/>
        <v/>
      </c>
      <c r="J217" t="str">
        <f t="shared" si="37"/>
        <v/>
      </c>
      <c r="K217" t="str">
        <f t="shared" si="38"/>
        <v>Matchday 14</v>
      </c>
      <c r="L217" t="str">
        <f t="shared" si="39"/>
        <v/>
      </c>
    </row>
    <row r="218" spans="1:12" hidden="1">
      <c r="A218" t="str">
        <f>IF(Sheet1!A221="","",Sheet1!A221)</f>
        <v>Matchday 15</v>
      </c>
      <c r="C218" t="str">
        <f t="shared" si="32"/>
        <v/>
      </c>
      <c r="D218" t="str">
        <f t="shared" si="30"/>
        <v/>
      </c>
      <c r="E218" t="str">
        <f t="shared" si="33"/>
        <v/>
      </c>
      <c r="F218" t="str">
        <f t="shared" si="34"/>
        <v/>
      </c>
      <c r="G218" t="str">
        <f t="shared" si="35"/>
        <v/>
      </c>
      <c r="H218" t="str">
        <f t="shared" si="36"/>
        <v/>
      </c>
      <c r="I218" t="str">
        <f t="shared" si="31"/>
        <v/>
      </c>
      <c r="J218" t="str">
        <f t="shared" si="37"/>
        <v/>
      </c>
      <c r="K218" t="str">
        <f t="shared" si="38"/>
        <v>Matchday 14</v>
      </c>
      <c r="L218" t="str">
        <f t="shared" si="39"/>
        <v/>
      </c>
    </row>
    <row r="219" spans="1:12" hidden="1">
      <c r="A219" t="str">
        <f>IF(Sheet1!A222="","",Sheet1!A222)</f>
        <v>[Sat Dec/26]</v>
      </c>
      <c r="C219" t="str">
        <f t="shared" si="32"/>
        <v/>
      </c>
      <c r="D219" t="str">
        <f t="shared" si="30"/>
        <v/>
      </c>
      <c r="E219" t="str">
        <f t="shared" si="33"/>
        <v/>
      </c>
      <c r="F219" t="str">
        <f t="shared" si="34"/>
        <v/>
      </c>
      <c r="G219" t="str">
        <f t="shared" si="35"/>
        <v/>
      </c>
      <c r="H219" t="str">
        <f t="shared" si="36"/>
        <v/>
      </c>
      <c r="I219" t="str">
        <f t="shared" si="31"/>
        <v/>
      </c>
      <c r="J219" t="str">
        <f t="shared" si="37"/>
        <v/>
      </c>
      <c r="K219" t="str">
        <f t="shared" si="38"/>
        <v>Matchday 14</v>
      </c>
      <c r="L219" t="str">
        <f t="shared" si="39"/>
        <v/>
      </c>
    </row>
    <row r="220" spans="1:12">
      <c r="A220" t="str">
        <f>IF(Sheet1!A223="","",Sheet1!A223)</f>
        <v xml:space="preserve">  Arsenal FC               -  Chelsea FC</v>
      </c>
      <c r="C220">
        <f t="shared" si="32"/>
        <v>11</v>
      </c>
      <c r="D220">
        <f t="shared" si="30"/>
        <v>28</v>
      </c>
      <c r="E220">
        <f t="shared" si="33"/>
        <v>39</v>
      </c>
      <c r="F220" t="str">
        <f t="shared" si="34"/>
        <v/>
      </c>
      <c r="G220" t="str">
        <f t="shared" si="35"/>
        <v xml:space="preserve">Arsenal FC </v>
      </c>
      <c r="H220" t="str">
        <f t="shared" si="36"/>
        <v xml:space="preserve"> - </v>
      </c>
      <c r="I220" t="str">
        <f t="shared" si="31"/>
        <v/>
      </c>
      <c r="J220" t="str">
        <f t="shared" si="37"/>
        <v>Chelsea FC</v>
      </c>
      <c r="K220" t="str">
        <f t="shared" si="38"/>
        <v>Matchday 15</v>
      </c>
      <c r="L220" t="str">
        <f t="shared" si="39"/>
        <v>[Sat Dec/26]</v>
      </c>
    </row>
    <row r="221" spans="1:12">
      <c r="A221" t="str">
        <f>IF(Sheet1!A224="","",Sheet1!A224)</f>
        <v xml:space="preserve">  Aston Villa FC           -  Crystal Palace FC</v>
      </c>
      <c r="C221">
        <f t="shared" si="32"/>
        <v>15</v>
      </c>
      <c r="D221">
        <f t="shared" si="30"/>
        <v>28</v>
      </c>
      <c r="E221">
        <f t="shared" si="33"/>
        <v>46</v>
      </c>
      <c r="F221" t="str">
        <f t="shared" si="34"/>
        <v/>
      </c>
      <c r="G221" t="str">
        <f t="shared" si="35"/>
        <v xml:space="preserve">Aston Villa FC </v>
      </c>
      <c r="H221" t="str">
        <f t="shared" si="36"/>
        <v xml:space="preserve"> - </v>
      </c>
      <c r="I221" t="str">
        <f t="shared" si="31"/>
        <v/>
      </c>
      <c r="J221" t="str">
        <f t="shared" si="37"/>
        <v>Crystal Palace FC</v>
      </c>
      <c r="K221" t="str">
        <f t="shared" si="38"/>
        <v>Matchday 15</v>
      </c>
      <c r="L221" t="str">
        <f t="shared" si="39"/>
        <v>[Sat Dec/26]</v>
      </c>
    </row>
    <row r="222" spans="1:12">
      <c r="A222" t="str">
        <f>IF(Sheet1!A225="","",Sheet1!A225)</f>
        <v xml:space="preserve">  Fulham FC                -  Southampton FC</v>
      </c>
      <c r="C222">
        <f t="shared" si="32"/>
        <v>10</v>
      </c>
      <c r="D222">
        <f t="shared" si="30"/>
        <v>28</v>
      </c>
      <c r="E222">
        <f t="shared" si="33"/>
        <v>43</v>
      </c>
      <c r="F222" t="str">
        <f t="shared" si="34"/>
        <v/>
      </c>
      <c r="G222" t="str">
        <f t="shared" si="35"/>
        <v xml:space="preserve">Fulham FC </v>
      </c>
      <c r="H222" t="str">
        <f t="shared" si="36"/>
        <v xml:space="preserve"> - </v>
      </c>
      <c r="I222" t="str">
        <f t="shared" si="31"/>
        <v/>
      </c>
      <c r="J222" t="str">
        <f t="shared" si="37"/>
        <v>Southampton FC</v>
      </c>
      <c r="K222" t="str">
        <f t="shared" si="38"/>
        <v>Matchday 15</v>
      </c>
      <c r="L222" t="str">
        <f t="shared" si="39"/>
        <v>[Sat Dec/26]</v>
      </c>
    </row>
    <row r="223" spans="1:12">
      <c r="A223" t="str">
        <f>IF(Sheet1!A226="","",Sheet1!A226)</f>
        <v xml:space="preserve">  Leeds United FC          -  Burnley FC</v>
      </c>
      <c r="C223">
        <f t="shared" si="32"/>
        <v>16</v>
      </c>
      <c r="D223">
        <f t="shared" si="30"/>
        <v>28</v>
      </c>
      <c r="E223">
        <f t="shared" si="33"/>
        <v>39</v>
      </c>
      <c r="F223" t="str">
        <f t="shared" si="34"/>
        <v/>
      </c>
      <c r="G223" t="str">
        <f t="shared" si="35"/>
        <v xml:space="preserve">Leeds United FC </v>
      </c>
      <c r="H223" t="str">
        <f t="shared" si="36"/>
        <v xml:space="preserve"> - </v>
      </c>
      <c r="I223" t="str">
        <f t="shared" si="31"/>
        <v/>
      </c>
      <c r="J223" t="str">
        <f t="shared" si="37"/>
        <v>Burnley FC</v>
      </c>
      <c r="K223" t="str">
        <f t="shared" si="38"/>
        <v>Matchday 15</v>
      </c>
      <c r="L223" t="str">
        <f t="shared" si="39"/>
        <v>[Sat Dec/26]</v>
      </c>
    </row>
    <row r="224" spans="1:12">
      <c r="A224" t="str">
        <f>IF(Sheet1!A227="","",Sheet1!A227)</f>
        <v xml:space="preserve">  Leicester City FC        -  Manchester United</v>
      </c>
      <c r="C224">
        <f t="shared" si="32"/>
        <v>18</v>
      </c>
      <c r="D224">
        <f t="shared" si="30"/>
        <v>28</v>
      </c>
      <c r="E224">
        <f t="shared" si="33"/>
        <v>49</v>
      </c>
      <c r="F224" t="str">
        <f t="shared" si="34"/>
        <v/>
      </c>
      <c r="G224" t="str">
        <f t="shared" si="35"/>
        <v xml:space="preserve">Leicester City FC </v>
      </c>
      <c r="H224" t="str">
        <f t="shared" si="36"/>
        <v xml:space="preserve"> - </v>
      </c>
      <c r="I224" t="str">
        <f t="shared" si="31"/>
        <v/>
      </c>
      <c r="J224" t="str">
        <f t="shared" si="37"/>
        <v>Manchester United</v>
      </c>
      <c r="K224" t="str">
        <f t="shared" si="38"/>
        <v>Matchday 15</v>
      </c>
      <c r="L224" t="str">
        <f t="shared" si="39"/>
        <v>[Sat Dec/26]</v>
      </c>
    </row>
    <row r="225" spans="1:12">
      <c r="A225" t="str">
        <f>IF(Sheet1!A228="","",Sheet1!A228)</f>
        <v xml:space="preserve">  Liverpool FC             -  West Bromwich Albion FC</v>
      </c>
      <c r="C225">
        <f t="shared" si="32"/>
        <v>13</v>
      </c>
      <c r="D225">
        <f t="shared" si="30"/>
        <v>28</v>
      </c>
      <c r="E225">
        <f t="shared" si="33"/>
        <v>52</v>
      </c>
      <c r="F225" t="str">
        <f t="shared" si="34"/>
        <v/>
      </c>
      <c r="G225" t="str">
        <f t="shared" si="35"/>
        <v xml:space="preserve">Liverpool FC </v>
      </c>
      <c r="H225" t="str">
        <f t="shared" si="36"/>
        <v xml:space="preserve"> - </v>
      </c>
      <c r="I225" t="str">
        <f t="shared" si="31"/>
        <v/>
      </c>
      <c r="J225" t="str">
        <f t="shared" si="37"/>
        <v>West Bromwich Albion FC</v>
      </c>
      <c r="K225" t="str">
        <f t="shared" si="38"/>
        <v>Matchday 15</v>
      </c>
      <c r="L225" t="str">
        <f t="shared" si="39"/>
        <v>[Sat Dec/26]</v>
      </c>
    </row>
    <row r="226" spans="1:12">
      <c r="A226" t="str">
        <f>IF(Sheet1!A229="","",Sheet1!A229)</f>
        <v xml:space="preserve">  Manchester City FC       -  Newcastle United FC</v>
      </c>
      <c r="C226">
        <f t="shared" si="32"/>
        <v>19</v>
      </c>
      <c r="D226">
        <f t="shared" si="30"/>
        <v>28</v>
      </c>
      <c r="E226">
        <f t="shared" si="33"/>
        <v>48</v>
      </c>
      <c r="F226" t="str">
        <f t="shared" si="34"/>
        <v/>
      </c>
      <c r="G226" t="str">
        <f t="shared" si="35"/>
        <v xml:space="preserve">Manchester City FC </v>
      </c>
      <c r="H226" t="str">
        <f t="shared" si="36"/>
        <v xml:space="preserve"> - </v>
      </c>
      <c r="I226" t="str">
        <f t="shared" si="31"/>
        <v/>
      </c>
      <c r="J226" t="str">
        <f t="shared" si="37"/>
        <v>Newcastle United FC</v>
      </c>
      <c r="K226" t="str">
        <f t="shared" si="38"/>
        <v>Matchday 15</v>
      </c>
      <c r="L226" t="str">
        <f t="shared" si="39"/>
        <v>[Sat Dec/26]</v>
      </c>
    </row>
    <row r="227" spans="1:12">
      <c r="A227" t="str">
        <f>IF(Sheet1!A230="","",Sheet1!A230)</f>
        <v xml:space="preserve">  Sheffield United FC      -  Everton FC</v>
      </c>
      <c r="C227">
        <f t="shared" si="32"/>
        <v>20</v>
      </c>
      <c r="D227">
        <f t="shared" si="30"/>
        <v>28</v>
      </c>
      <c r="E227">
        <f t="shared" si="33"/>
        <v>39</v>
      </c>
      <c r="F227" t="str">
        <f t="shared" si="34"/>
        <v/>
      </c>
      <c r="G227" t="str">
        <f t="shared" si="35"/>
        <v xml:space="preserve">Sheffield United FC </v>
      </c>
      <c r="H227" t="str">
        <f t="shared" si="36"/>
        <v xml:space="preserve"> - </v>
      </c>
      <c r="I227" t="str">
        <f t="shared" si="31"/>
        <v/>
      </c>
      <c r="J227" t="str">
        <f t="shared" si="37"/>
        <v>Everton FC</v>
      </c>
      <c r="K227" t="str">
        <f t="shared" si="38"/>
        <v>Matchday 15</v>
      </c>
      <c r="L227" t="str">
        <f t="shared" si="39"/>
        <v>[Sat Dec/26]</v>
      </c>
    </row>
    <row r="228" spans="1:12">
      <c r="A228" t="str">
        <f>IF(Sheet1!A231="","",Sheet1!A231)</f>
        <v xml:space="preserve">  West Ham United FC       -  Brighton &amp; Hove Albion FC</v>
      </c>
      <c r="C228">
        <f t="shared" si="32"/>
        <v>19</v>
      </c>
      <c r="D228">
        <f t="shared" si="30"/>
        <v>28</v>
      </c>
      <c r="E228">
        <f t="shared" si="33"/>
        <v>54</v>
      </c>
      <c r="F228" t="str">
        <f t="shared" si="34"/>
        <v/>
      </c>
      <c r="G228" t="str">
        <f t="shared" si="35"/>
        <v xml:space="preserve">West Ham United FC </v>
      </c>
      <c r="H228" t="str">
        <f t="shared" si="36"/>
        <v xml:space="preserve"> - </v>
      </c>
      <c r="I228" t="str">
        <f t="shared" si="31"/>
        <v/>
      </c>
      <c r="J228" t="str">
        <f t="shared" si="37"/>
        <v>Brighton &amp; Hove Albion FC</v>
      </c>
      <c r="K228" t="str">
        <f t="shared" si="38"/>
        <v>Matchday 15</v>
      </c>
      <c r="L228" t="str">
        <f t="shared" si="39"/>
        <v>[Sat Dec/26]</v>
      </c>
    </row>
    <row r="229" spans="1:12">
      <c r="A229" t="str">
        <f>IF(Sheet1!A232="","",Sheet1!A232)</f>
        <v xml:space="preserve">  Wolverhampton Wanderers FC  -  Tottenham Hotspur FC</v>
      </c>
      <c r="C229">
        <f t="shared" si="32"/>
        <v>27</v>
      </c>
      <c r="D229">
        <f t="shared" si="30"/>
        <v>31</v>
      </c>
      <c r="E229">
        <f t="shared" si="33"/>
        <v>52</v>
      </c>
      <c r="F229" t="str">
        <f t="shared" si="34"/>
        <v/>
      </c>
      <c r="G229" t="str">
        <f t="shared" si="35"/>
        <v xml:space="preserve">Wolverhampton Wanderers FC </v>
      </c>
      <c r="H229" t="str">
        <f t="shared" si="36"/>
        <v xml:space="preserve"> - </v>
      </c>
      <c r="I229" t="str">
        <f t="shared" si="31"/>
        <v/>
      </c>
      <c r="J229" t="str">
        <f t="shared" si="37"/>
        <v>Tottenham Hotspur FC</v>
      </c>
      <c r="K229" t="str">
        <f t="shared" si="38"/>
        <v>Matchday 15</v>
      </c>
      <c r="L229" t="str">
        <f t="shared" si="39"/>
        <v>[Sat Dec/26]</v>
      </c>
    </row>
    <row r="230" spans="1:12" hidden="1">
      <c r="A230" t="str">
        <f>IF(Sheet1!A233="","",Sheet1!A233)</f>
        <v/>
      </c>
      <c r="C230" t="str">
        <f t="shared" si="32"/>
        <v/>
      </c>
      <c r="D230" t="str">
        <f t="shared" si="30"/>
        <v/>
      </c>
      <c r="E230" t="str">
        <f t="shared" si="33"/>
        <v/>
      </c>
      <c r="F230" t="str">
        <f t="shared" si="34"/>
        <v/>
      </c>
      <c r="G230" t="str">
        <f t="shared" si="35"/>
        <v/>
      </c>
      <c r="H230" t="str">
        <f t="shared" si="36"/>
        <v/>
      </c>
      <c r="I230" t="str">
        <f t="shared" si="31"/>
        <v/>
      </c>
      <c r="J230" t="str">
        <f t="shared" si="37"/>
        <v/>
      </c>
      <c r="K230" t="str">
        <f t="shared" si="38"/>
        <v>Matchday 15</v>
      </c>
      <c r="L230" t="str">
        <f t="shared" si="39"/>
        <v/>
      </c>
    </row>
    <row r="231" spans="1:12" hidden="1">
      <c r="A231" t="str">
        <f>IF(Sheet1!A234="","",Sheet1!A234)</f>
        <v/>
      </c>
      <c r="C231" t="str">
        <f t="shared" si="32"/>
        <v/>
      </c>
      <c r="D231" t="str">
        <f t="shared" si="30"/>
        <v/>
      </c>
      <c r="E231" t="str">
        <f t="shared" si="33"/>
        <v/>
      </c>
      <c r="F231" t="str">
        <f t="shared" si="34"/>
        <v/>
      </c>
      <c r="G231" t="str">
        <f t="shared" si="35"/>
        <v/>
      </c>
      <c r="H231" t="str">
        <f t="shared" si="36"/>
        <v/>
      </c>
      <c r="I231" t="str">
        <f t="shared" si="31"/>
        <v/>
      </c>
      <c r="J231" t="str">
        <f t="shared" si="37"/>
        <v/>
      </c>
      <c r="K231" t="str">
        <f t="shared" si="38"/>
        <v>Matchday 15</v>
      </c>
      <c r="L231" t="str">
        <f t="shared" si="39"/>
        <v/>
      </c>
    </row>
    <row r="232" spans="1:12" hidden="1">
      <c r="A232" t="str">
        <f>IF(Sheet1!A235="","",Sheet1!A235)</f>
        <v>Matchday 16</v>
      </c>
      <c r="C232" t="str">
        <f t="shared" si="32"/>
        <v/>
      </c>
      <c r="D232" t="str">
        <f t="shared" si="30"/>
        <v/>
      </c>
      <c r="E232" t="str">
        <f t="shared" si="33"/>
        <v/>
      </c>
      <c r="F232" t="str">
        <f t="shared" si="34"/>
        <v/>
      </c>
      <c r="G232" t="str">
        <f t="shared" si="35"/>
        <v/>
      </c>
      <c r="H232" t="str">
        <f t="shared" si="36"/>
        <v/>
      </c>
      <c r="I232" t="str">
        <f t="shared" si="31"/>
        <v/>
      </c>
      <c r="J232" t="str">
        <f t="shared" si="37"/>
        <v/>
      </c>
      <c r="K232" t="str">
        <f t="shared" si="38"/>
        <v>Matchday 15</v>
      </c>
      <c r="L232" t="str">
        <f t="shared" si="39"/>
        <v/>
      </c>
    </row>
    <row r="233" spans="1:12" hidden="1">
      <c r="A233" t="str">
        <f>IF(Sheet1!A236="","",Sheet1!A236)</f>
        <v>[Mon Dec/28]</v>
      </c>
      <c r="C233" t="str">
        <f t="shared" si="32"/>
        <v/>
      </c>
      <c r="D233" t="str">
        <f t="shared" si="30"/>
        <v/>
      </c>
      <c r="E233" t="str">
        <f t="shared" si="33"/>
        <v/>
      </c>
      <c r="F233" t="str">
        <f t="shared" si="34"/>
        <v/>
      </c>
      <c r="G233" t="str">
        <f t="shared" si="35"/>
        <v/>
      </c>
      <c r="H233" t="str">
        <f t="shared" si="36"/>
        <v/>
      </c>
      <c r="I233" t="str">
        <f t="shared" si="31"/>
        <v/>
      </c>
      <c r="J233" t="str">
        <f t="shared" si="37"/>
        <v/>
      </c>
      <c r="K233" t="str">
        <f t="shared" si="38"/>
        <v>Matchday 15</v>
      </c>
      <c r="L233" t="str">
        <f t="shared" si="39"/>
        <v/>
      </c>
    </row>
    <row r="234" spans="1:12">
      <c r="A234" t="str">
        <f>IF(Sheet1!A237="","",Sheet1!A237)</f>
        <v xml:space="preserve">  Brighton &amp; Hove Albion FC  -  Arsenal FC</v>
      </c>
      <c r="C234">
        <f t="shared" si="32"/>
        <v>26</v>
      </c>
      <c r="D234">
        <f t="shared" si="30"/>
        <v>30</v>
      </c>
      <c r="E234">
        <f t="shared" si="33"/>
        <v>41</v>
      </c>
      <c r="F234" t="str">
        <f t="shared" si="34"/>
        <v/>
      </c>
      <c r="G234" t="str">
        <f t="shared" si="35"/>
        <v xml:space="preserve">Brighton &amp; Hove Albion FC </v>
      </c>
      <c r="H234" t="str">
        <f t="shared" si="36"/>
        <v xml:space="preserve"> - </v>
      </c>
      <c r="I234" t="str">
        <f t="shared" si="31"/>
        <v/>
      </c>
      <c r="J234" t="str">
        <f t="shared" si="37"/>
        <v>Arsenal FC</v>
      </c>
      <c r="K234" t="str">
        <f t="shared" si="38"/>
        <v>Matchday 16</v>
      </c>
      <c r="L234" t="str">
        <f t="shared" si="39"/>
        <v>[Mon Dec/28]</v>
      </c>
    </row>
    <row r="235" spans="1:12">
      <c r="A235" t="str">
        <f>IF(Sheet1!A238="","",Sheet1!A238)</f>
        <v xml:space="preserve">  Burnley FC               -  Sheffield United FC</v>
      </c>
      <c r="C235">
        <f t="shared" si="32"/>
        <v>11</v>
      </c>
      <c r="D235">
        <f t="shared" si="30"/>
        <v>28</v>
      </c>
      <c r="E235">
        <f t="shared" si="33"/>
        <v>48</v>
      </c>
      <c r="F235" t="str">
        <f t="shared" si="34"/>
        <v/>
      </c>
      <c r="G235" t="str">
        <f t="shared" si="35"/>
        <v xml:space="preserve">Burnley FC </v>
      </c>
      <c r="H235" t="str">
        <f t="shared" si="36"/>
        <v xml:space="preserve"> - </v>
      </c>
      <c r="I235" t="str">
        <f t="shared" si="31"/>
        <v/>
      </c>
      <c r="J235" t="str">
        <f t="shared" si="37"/>
        <v>Sheffield United FC</v>
      </c>
      <c r="K235" t="str">
        <f t="shared" si="38"/>
        <v>Matchday 16</v>
      </c>
      <c r="L235" t="str">
        <f t="shared" si="39"/>
        <v>[Mon Dec/28]</v>
      </c>
    </row>
    <row r="236" spans="1:12">
      <c r="A236" t="str">
        <f>IF(Sheet1!A239="","",Sheet1!A239)</f>
        <v xml:space="preserve">  Chelsea FC               -  Aston Villa FC</v>
      </c>
      <c r="C236">
        <f t="shared" si="32"/>
        <v>11</v>
      </c>
      <c r="D236">
        <f t="shared" si="30"/>
        <v>28</v>
      </c>
      <c r="E236">
        <f t="shared" si="33"/>
        <v>43</v>
      </c>
      <c r="F236" t="str">
        <f t="shared" si="34"/>
        <v/>
      </c>
      <c r="G236" t="str">
        <f t="shared" si="35"/>
        <v xml:space="preserve">Chelsea FC </v>
      </c>
      <c r="H236" t="str">
        <f t="shared" si="36"/>
        <v xml:space="preserve"> - </v>
      </c>
      <c r="I236" t="str">
        <f t="shared" si="31"/>
        <v/>
      </c>
      <c r="J236" t="str">
        <f t="shared" si="37"/>
        <v>Aston Villa FC</v>
      </c>
      <c r="K236" t="str">
        <f t="shared" si="38"/>
        <v>Matchday 16</v>
      </c>
      <c r="L236" t="str">
        <f t="shared" si="39"/>
        <v>[Mon Dec/28]</v>
      </c>
    </row>
    <row r="237" spans="1:12">
      <c r="A237" t="str">
        <f>IF(Sheet1!A240="","",Sheet1!A240)</f>
        <v xml:space="preserve">  Crystal Palace FC        -  Leicester City FC</v>
      </c>
      <c r="C237">
        <f t="shared" si="32"/>
        <v>18</v>
      </c>
      <c r="D237">
        <f t="shared" si="30"/>
        <v>28</v>
      </c>
      <c r="E237">
        <f t="shared" si="33"/>
        <v>46</v>
      </c>
      <c r="F237" t="str">
        <f t="shared" si="34"/>
        <v/>
      </c>
      <c r="G237" t="str">
        <f t="shared" si="35"/>
        <v xml:space="preserve">Crystal Palace FC </v>
      </c>
      <c r="H237" t="str">
        <f t="shared" si="36"/>
        <v xml:space="preserve"> - </v>
      </c>
      <c r="I237" t="str">
        <f t="shared" si="31"/>
        <v/>
      </c>
      <c r="J237" t="str">
        <f t="shared" si="37"/>
        <v>Leicester City FC</v>
      </c>
      <c r="K237" t="str">
        <f t="shared" si="38"/>
        <v>Matchday 16</v>
      </c>
      <c r="L237" t="str">
        <f t="shared" si="39"/>
        <v>[Mon Dec/28]</v>
      </c>
    </row>
    <row r="238" spans="1:12">
      <c r="A238" t="str">
        <f>IF(Sheet1!A241="","",Sheet1!A241)</f>
        <v xml:space="preserve">  Everton FC               -  Manchester City FC</v>
      </c>
      <c r="C238">
        <f t="shared" si="32"/>
        <v>11</v>
      </c>
      <c r="D238">
        <f t="shared" si="30"/>
        <v>28</v>
      </c>
      <c r="E238">
        <f t="shared" si="33"/>
        <v>47</v>
      </c>
      <c r="F238" t="str">
        <f t="shared" si="34"/>
        <v/>
      </c>
      <c r="G238" t="str">
        <f t="shared" si="35"/>
        <v xml:space="preserve">Everton FC </v>
      </c>
      <c r="H238" t="str">
        <f t="shared" si="36"/>
        <v xml:space="preserve"> - </v>
      </c>
      <c r="I238" t="str">
        <f t="shared" si="31"/>
        <v/>
      </c>
      <c r="J238" t="str">
        <f t="shared" si="37"/>
        <v>Manchester City FC</v>
      </c>
      <c r="K238" t="str">
        <f t="shared" si="38"/>
        <v>Matchday 16</v>
      </c>
      <c r="L238" t="str">
        <f t="shared" si="39"/>
        <v>[Mon Dec/28]</v>
      </c>
    </row>
    <row r="239" spans="1:12">
      <c r="A239" t="str">
        <f>IF(Sheet1!A242="","",Sheet1!A242)</f>
        <v xml:space="preserve">  Manchester United        -  Wolverhampton Wanderers FC</v>
      </c>
      <c r="C239">
        <f t="shared" si="32"/>
        <v>21</v>
      </c>
      <c r="D239">
        <f t="shared" si="30"/>
        <v>28</v>
      </c>
      <c r="E239">
        <f t="shared" si="33"/>
        <v>58</v>
      </c>
      <c r="F239" t="str">
        <f t="shared" si="34"/>
        <v/>
      </c>
      <c r="G239" t="str">
        <f t="shared" si="35"/>
        <v xml:space="preserve">Manchester United    </v>
      </c>
      <c r="H239" t="str">
        <f t="shared" si="36"/>
        <v xml:space="preserve"> - </v>
      </c>
      <c r="I239" t="str">
        <f t="shared" si="31"/>
        <v/>
      </c>
      <c r="J239" t="str">
        <f t="shared" si="37"/>
        <v>Wolverhampton Wanderers FC</v>
      </c>
      <c r="K239" t="str">
        <f t="shared" si="38"/>
        <v>Matchday 16</v>
      </c>
      <c r="L239" t="str">
        <f t="shared" si="39"/>
        <v>[Mon Dec/28]</v>
      </c>
    </row>
    <row r="240" spans="1:12">
      <c r="A240" t="str">
        <f>IF(Sheet1!A243="","",Sheet1!A243)</f>
        <v xml:space="preserve">  Newcastle United FC      -  Liverpool FC</v>
      </c>
      <c r="C240">
        <f t="shared" si="32"/>
        <v>20</v>
      </c>
      <c r="D240">
        <f t="shared" si="30"/>
        <v>28</v>
      </c>
      <c r="E240">
        <f t="shared" si="33"/>
        <v>41</v>
      </c>
      <c r="F240" t="str">
        <f t="shared" si="34"/>
        <v/>
      </c>
      <c r="G240" t="str">
        <f t="shared" si="35"/>
        <v xml:space="preserve">Newcastle United FC </v>
      </c>
      <c r="H240" t="str">
        <f t="shared" si="36"/>
        <v xml:space="preserve"> - </v>
      </c>
      <c r="I240" t="str">
        <f t="shared" si="31"/>
        <v/>
      </c>
      <c r="J240" t="str">
        <f t="shared" si="37"/>
        <v>Liverpool FC</v>
      </c>
      <c r="K240" t="str">
        <f t="shared" si="38"/>
        <v>Matchday 16</v>
      </c>
      <c r="L240" t="str">
        <f t="shared" si="39"/>
        <v>[Mon Dec/28]</v>
      </c>
    </row>
    <row r="241" spans="1:12">
      <c r="A241" t="str">
        <f>IF(Sheet1!A244="","",Sheet1!A244)</f>
        <v xml:space="preserve">  Southampton FC           -  West Ham United FC</v>
      </c>
      <c r="C241">
        <f t="shared" si="32"/>
        <v>15</v>
      </c>
      <c r="D241">
        <f t="shared" si="30"/>
        <v>28</v>
      </c>
      <c r="E241">
        <f t="shared" si="33"/>
        <v>47</v>
      </c>
      <c r="F241" t="str">
        <f t="shared" si="34"/>
        <v/>
      </c>
      <c r="G241" t="str">
        <f t="shared" si="35"/>
        <v xml:space="preserve">Southampton FC </v>
      </c>
      <c r="H241" t="str">
        <f t="shared" si="36"/>
        <v xml:space="preserve"> - </v>
      </c>
      <c r="I241" t="str">
        <f t="shared" si="31"/>
        <v/>
      </c>
      <c r="J241" t="str">
        <f t="shared" si="37"/>
        <v>West Ham United FC</v>
      </c>
      <c r="K241" t="str">
        <f t="shared" si="38"/>
        <v>Matchday 16</v>
      </c>
      <c r="L241" t="str">
        <f t="shared" si="39"/>
        <v>[Mon Dec/28]</v>
      </c>
    </row>
    <row r="242" spans="1:12">
      <c r="A242" t="str">
        <f>IF(Sheet1!A245="","",Sheet1!A245)</f>
        <v xml:space="preserve">  Tottenham Hotspur FC     -  Fulham FC</v>
      </c>
      <c r="C242">
        <f t="shared" si="32"/>
        <v>21</v>
      </c>
      <c r="D242">
        <f t="shared" si="30"/>
        <v>28</v>
      </c>
      <c r="E242">
        <f t="shared" si="33"/>
        <v>38</v>
      </c>
      <c r="F242" t="str">
        <f t="shared" si="34"/>
        <v/>
      </c>
      <c r="G242" t="str">
        <f t="shared" si="35"/>
        <v xml:space="preserve">Tottenham Hotspur FC </v>
      </c>
      <c r="H242" t="str">
        <f t="shared" si="36"/>
        <v xml:space="preserve"> - </v>
      </c>
      <c r="I242" t="str">
        <f t="shared" si="31"/>
        <v/>
      </c>
      <c r="J242" t="str">
        <f t="shared" si="37"/>
        <v>Fulham FC</v>
      </c>
      <c r="K242" t="str">
        <f t="shared" si="38"/>
        <v>Matchday 16</v>
      </c>
      <c r="L242" t="str">
        <f t="shared" si="39"/>
        <v>[Mon Dec/28]</v>
      </c>
    </row>
    <row r="243" spans="1:12">
      <c r="A243" t="str">
        <f>IF(Sheet1!A246="","",Sheet1!A246)</f>
        <v xml:space="preserve">  West Bromwich Albion FC  -  Leeds United FC</v>
      </c>
      <c r="C243">
        <f t="shared" si="32"/>
        <v>24</v>
      </c>
      <c r="D243">
        <f t="shared" si="30"/>
        <v>28</v>
      </c>
      <c r="E243">
        <f t="shared" si="33"/>
        <v>44</v>
      </c>
      <c r="F243" t="str">
        <f t="shared" si="34"/>
        <v/>
      </c>
      <c r="G243" t="str">
        <f t="shared" si="35"/>
        <v xml:space="preserve">West Bromwich Albion FC </v>
      </c>
      <c r="H243" t="str">
        <f t="shared" si="36"/>
        <v xml:space="preserve"> - </v>
      </c>
      <c r="I243" t="str">
        <f t="shared" si="31"/>
        <v/>
      </c>
      <c r="J243" t="str">
        <f t="shared" si="37"/>
        <v>Leeds United FC</v>
      </c>
      <c r="K243" t="str">
        <f t="shared" si="38"/>
        <v>Matchday 16</v>
      </c>
      <c r="L243" t="str">
        <f t="shared" si="39"/>
        <v>[Mon Dec/28]</v>
      </c>
    </row>
    <row r="244" spans="1:12" hidden="1">
      <c r="A244" t="str">
        <f>IF(Sheet1!A247="","",Sheet1!A247)</f>
        <v/>
      </c>
      <c r="C244" t="str">
        <f t="shared" si="32"/>
        <v/>
      </c>
      <c r="D244" t="str">
        <f t="shared" si="30"/>
        <v/>
      </c>
      <c r="E244" t="str">
        <f t="shared" si="33"/>
        <v/>
      </c>
      <c r="F244" t="str">
        <f t="shared" si="34"/>
        <v/>
      </c>
      <c r="G244" t="str">
        <f t="shared" si="35"/>
        <v/>
      </c>
      <c r="H244" t="str">
        <f t="shared" si="36"/>
        <v/>
      </c>
      <c r="I244" t="str">
        <f t="shared" si="31"/>
        <v/>
      </c>
      <c r="J244" t="str">
        <f t="shared" si="37"/>
        <v/>
      </c>
      <c r="K244" t="str">
        <f t="shared" si="38"/>
        <v>Matchday 16</v>
      </c>
      <c r="L244" t="str">
        <f t="shared" si="39"/>
        <v/>
      </c>
    </row>
    <row r="245" spans="1:12" hidden="1">
      <c r="A245" t="str">
        <f>IF(Sheet1!A248="","",Sheet1!A248)</f>
        <v/>
      </c>
      <c r="C245" t="str">
        <f t="shared" si="32"/>
        <v/>
      </c>
      <c r="D245" t="str">
        <f t="shared" si="30"/>
        <v/>
      </c>
      <c r="E245" t="str">
        <f t="shared" si="33"/>
        <v/>
      </c>
      <c r="F245" t="str">
        <f t="shared" si="34"/>
        <v/>
      </c>
      <c r="G245" t="str">
        <f t="shared" si="35"/>
        <v/>
      </c>
      <c r="H245" t="str">
        <f t="shared" si="36"/>
        <v/>
      </c>
      <c r="I245" t="str">
        <f t="shared" si="31"/>
        <v/>
      </c>
      <c r="J245" t="str">
        <f t="shared" si="37"/>
        <v/>
      </c>
      <c r="K245" t="str">
        <f t="shared" si="38"/>
        <v>Matchday 16</v>
      </c>
      <c r="L245" t="str">
        <f t="shared" si="39"/>
        <v/>
      </c>
    </row>
    <row r="246" spans="1:12" hidden="1">
      <c r="A246" t="str">
        <f>IF(Sheet1!A249="","",Sheet1!A249)</f>
        <v>Matchday 17</v>
      </c>
      <c r="C246" t="str">
        <f t="shared" si="32"/>
        <v/>
      </c>
      <c r="D246" t="str">
        <f t="shared" si="30"/>
        <v/>
      </c>
      <c r="E246" t="str">
        <f t="shared" si="33"/>
        <v/>
      </c>
      <c r="F246" t="str">
        <f t="shared" si="34"/>
        <v/>
      </c>
      <c r="G246" t="str">
        <f t="shared" si="35"/>
        <v/>
      </c>
      <c r="H246" t="str">
        <f t="shared" si="36"/>
        <v/>
      </c>
      <c r="I246" t="str">
        <f t="shared" si="31"/>
        <v/>
      </c>
      <c r="J246" t="str">
        <f t="shared" si="37"/>
        <v/>
      </c>
      <c r="K246" t="str">
        <f t="shared" si="38"/>
        <v>Matchday 16</v>
      </c>
      <c r="L246" t="str">
        <f t="shared" si="39"/>
        <v/>
      </c>
    </row>
    <row r="247" spans="1:12" hidden="1">
      <c r="A247" t="str">
        <f>IF(Sheet1!A250="","",Sheet1!A250)</f>
        <v>[Sat Jan/2]</v>
      </c>
      <c r="C247" t="str">
        <f t="shared" si="32"/>
        <v/>
      </c>
      <c r="D247" t="str">
        <f t="shared" si="30"/>
        <v/>
      </c>
      <c r="E247" t="str">
        <f t="shared" si="33"/>
        <v/>
      </c>
      <c r="F247" t="str">
        <f t="shared" si="34"/>
        <v/>
      </c>
      <c r="G247" t="str">
        <f t="shared" si="35"/>
        <v/>
      </c>
      <c r="H247" t="str">
        <f t="shared" si="36"/>
        <v/>
      </c>
      <c r="I247" t="str">
        <f t="shared" si="31"/>
        <v/>
      </c>
      <c r="J247" t="str">
        <f t="shared" si="37"/>
        <v/>
      </c>
      <c r="K247" t="str">
        <f t="shared" si="38"/>
        <v>Matchday 16</v>
      </c>
      <c r="L247" t="str">
        <f t="shared" si="39"/>
        <v/>
      </c>
    </row>
    <row r="248" spans="1:12">
      <c r="A248" t="str">
        <f>IF(Sheet1!A251="","",Sheet1!A251)</f>
        <v xml:space="preserve">  Brighton &amp; Hove Albion FC  -  Wolverhampton Wanderers FC</v>
      </c>
      <c r="C248">
        <f t="shared" si="32"/>
        <v>26</v>
      </c>
      <c r="D248">
        <f t="shared" si="30"/>
        <v>30</v>
      </c>
      <c r="E248">
        <f t="shared" si="33"/>
        <v>57</v>
      </c>
      <c r="F248" t="str">
        <f t="shared" si="34"/>
        <v/>
      </c>
      <c r="G248" t="str">
        <f t="shared" si="35"/>
        <v xml:space="preserve">Brighton &amp; Hove Albion FC </v>
      </c>
      <c r="H248" t="str">
        <f t="shared" si="36"/>
        <v xml:space="preserve"> - </v>
      </c>
      <c r="I248" t="str">
        <f t="shared" si="31"/>
        <v/>
      </c>
      <c r="J248" t="str">
        <f t="shared" si="37"/>
        <v>Wolverhampton Wanderers FC</v>
      </c>
      <c r="K248" t="str">
        <f t="shared" si="38"/>
        <v>Matchday 17</v>
      </c>
      <c r="L248" t="str">
        <f t="shared" si="39"/>
        <v>[Sat Jan/2]</v>
      </c>
    </row>
    <row r="249" spans="1:12">
      <c r="A249" t="str">
        <f>IF(Sheet1!A252="","",Sheet1!A252)</f>
        <v xml:space="preserve">  Burnley FC               -  Fulham FC</v>
      </c>
      <c r="C249">
        <f t="shared" si="32"/>
        <v>11</v>
      </c>
      <c r="D249">
        <f t="shared" si="30"/>
        <v>28</v>
      </c>
      <c r="E249">
        <f t="shared" si="33"/>
        <v>38</v>
      </c>
      <c r="F249" t="str">
        <f t="shared" si="34"/>
        <v/>
      </c>
      <c r="G249" t="str">
        <f t="shared" si="35"/>
        <v xml:space="preserve">Burnley FC </v>
      </c>
      <c r="H249" t="str">
        <f t="shared" si="36"/>
        <v xml:space="preserve"> - </v>
      </c>
      <c r="I249" t="str">
        <f t="shared" si="31"/>
        <v/>
      </c>
      <c r="J249" t="str">
        <f t="shared" si="37"/>
        <v>Fulham FC</v>
      </c>
      <c r="K249" t="str">
        <f t="shared" si="38"/>
        <v>Matchday 17</v>
      </c>
      <c r="L249" t="str">
        <f t="shared" si="39"/>
        <v>[Sat Jan/2]</v>
      </c>
    </row>
    <row r="250" spans="1:12">
      <c r="A250" t="str">
        <f>IF(Sheet1!A253="","",Sheet1!A253)</f>
        <v xml:space="preserve">  Chelsea FC               -  Manchester City FC</v>
      </c>
      <c r="C250">
        <f t="shared" si="32"/>
        <v>11</v>
      </c>
      <c r="D250">
        <f t="shared" si="30"/>
        <v>28</v>
      </c>
      <c r="E250">
        <f t="shared" si="33"/>
        <v>47</v>
      </c>
      <c r="F250" t="str">
        <f t="shared" si="34"/>
        <v/>
      </c>
      <c r="G250" t="str">
        <f t="shared" si="35"/>
        <v xml:space="preserve">Chelsea FC </v>
      </c>
      <c r="H250" t="str">
        <f t="shared" si="36"/>
        <v xml:space="preserve"> - </v>
      </c>
      <c r="I250" t="str">
        <f t="shared" si="31"/>
        <v/>
      </c>
      <c r="J250" t="str">
        <f t="shared" si="37"/>
        <v>Manchester City FC</v>
      </c>
      <c r="K250" t="str">
        <f t="shared" si="38"/>
        <v>Matchday 17</v>
      </c>
      <c r="L250" t="str">
        <f t="shared" si="39"/>
        <v>[Sat Jan/2]</v>
      </c>
    </row>
    <row r="251" spans="1:12">
      <c r="A251" t="str">
        <f>IF(Sheet1!A254="","",Sheet1!A254)</f>
        <v xml:space="preserve">  Crystal Palace FC        -  Sheffield United FC</v>
      </c>
      <c r="C251">
        <f t="shared" si="32"/>
        <v>18</v>
      </c>
      <c r="D251">
        <f t="shared" si="30"/>
        <v>28</v>
      </c>
      <c r="E251">
        <f t="shared" si="33"/>
        <v>48</v>
      </c>
      <c r="F251" t="str">
        <f t="shared" si="34"/>
        <v/>
      </c>
      <c r="G251" t="str">
        <f t="shared" si="35"/>
        <v xml:space="preserve">Crystal Palace FC </v>
      </c>
      <c r="H251" t="str">
        <f t="shared" si="36"/>
        <v xml:space="preserve"> - </v>
      </c>
      <c r="I251" t="str">
        <f t="shared" si="31"/>
        <v/>
      </c>
      <c r="J251" t="str">
        <f t="shared" si="37"/>
        <v>Sheffield United FC</v>
      </c>
      <c r="K251" t="str">
        <f t="shared" si="38"/>
        <v>Matchday 17</v>
      </c>
      <c r="L251" t="str">
        <f t="shared" si="39"/>
        <v>[Sat Jan/2]</v>
      </c>
    </row>
    <row r="252" spans="1:12">
      <c r="A252" t="str">
        <f>IF(Sheet1!A255="","",Sheet1!A255)</f>
        <v xml:space="preserve">  Everton FC               -  West Ham United FC</v>
      </c>
      <c r="C252">
        <f t="shared" si="32"/>
        <v>11</v>
      </c>
      <c r="D252">
        <f t="shared" si="30"/>
        <v>28</v>
      </c>
      <c r="E252">
        <f t="shared" si="33"/>
        <v>47</v>
      </c>
      <c r="F252" t="str">
        <f t="shared" si="34"/>
        <v/>
      </c>
      <c r="G252" t="str">
        <f t="shared" si="35"/>
        <v xml:space="preserve">Everton FC </v>
      </c>
      <c r="H252" t="str">
        <f t="shared" si="36"/>
        <v xml:space="preserve"> - </v>
      </c>
      <c r="I252" t="str">
        <f t="shared" si="31"/>
        <v/>
      </c>
      <c r="J252" t="str">
        <f t="shared" si="37"/>
        <v>West Ham United FC</v>
      </c>
      <c r="K252" t="str">
        <f t="shared" si="38"/>
        <v>Matchday 17</v>
      </c>
      <c r="L252" t="str">
        <f t="shared" si="39"/>
        <v>[Sat Jan/2]</v>
      </c>
    </row>
    <row r="253" spans="1:12">
      <c r="A253" t="str">
        <f>IF(Sheet1!A256="","",Sheet1!A256)</f>
        <v xml:space="preserve">  Manchester United        -  Aston Villa FC</v>
      </c>
      <c r="C253">
        <f t="shared" si="32"/>
        <v>21</v>
      </c>
      <c r="D253">
        <f t="shared" si="30"/>
        <v>28</v>
      </c>
      <c r="E253">
        <f t="shared" si="33"/>
        <v>46</v>
      </c>
      <c r="F253" t="str">
        <f t="shared" si="34"/>
        <v/>
      </c>
      <c r="G253" t="str">
        <f t="shared" si="35"/>
        <v xml:space="preserve">Manchester United    </v>
      </c>
      <c r="H253" t="str">
        <f t="shared" si="36"/>
        <v xml:space="preserve"> - </v>
      </c>
      <c r="I253" t="str">
        <f t="shared" si="31"/>
        <v/>
      </c>
      <c r="J253" t="str">
        <f t="shared" si="37"/>
        <v>Aston Villa FC</v>
      </c>
      <c r="K253" t="str">
        <f t="shared" si="38"/>
        <v>Matchday 17</v>
      </c>
      <c r="L253" t="str">
        <f t="shared" si="39"/>
        <v>[Sat Jan/2]</v>
      </c>
    </row>
    <row r="254" spans="1:12">
      <c r="A254" t="str">
        <f>IF(Sheet1!A257="","",Sheet1!A257)</f>
        <v xml:space="preserve">  Newcastle United FC      -  Leicester City FC</v>
      </c>
      <c r="C254">
        <f t="shared" si="32"/>
        <v>20</v>
      </c>
      <c r="D254">
        <f t="shared" si="30"/>
        <v>28</v>
      </c>
      <c r="E254">
        <f t="shared" si="33"/>
        <v>46</v>
      </c>
      <c r="F254" t="str">
        <f t="shared" si="34"/>
        <v/>
      </c>
      <c r="G254" t="str">
        <f t="shared" si="35"/>
        <v xml:space="preserve">Newcastle United FC </v>
      </c>
      <c r="H254" t="str">
        <f t="shared" si="36"/>
        <v xml:space="preserve"> - </v>
      </c>
      <c r="I254" t="str">
        <f t="shared" si="31"/>
        <v/>
      </c>
      <c r="J254" t="str">
        <f t="shared" si="37"/>
        <v>Leicester City FC</v>
      </c>
      <c r="K254" t="str">
        <f t="shared" si="38"/>
        <v>Matchday 17</v>
      </c>
      <c r="L254" t="str">
        <f t="shared" si="39"/>
        <v>[Sat Jan/2]</v>
      </c>
    </row>
    <row r="255" spans="1:12">
      <c r="A255" t="str">
        <f>IF(Sheet1!A258="","",Sheet1!A258)</f>
        <v xml:space="preserve">  Southampton FC           -  Liverpool FC</v>
      </c>
      <c r="C255">
        <f t="shared" si="32"/>
        <v>15</v>
      </c>
      <c r="D255">
        <f t="shared" si="30"/>
        <v>28</v>
      </c>
      <c r="E255">
        <f t="shared" si="33"/>
        <v>41</v>
      </c>
      <c r="F255" t="str">
        <f t="shared" si="34"/>
        <v/>
      </c>
      <c r="G255" t="str">
        <f t="shared" si="35"/>
        <v xml:space="preserve">Southampton FC </v>
      </c>
      <c r="H255" t="str">
        <f t="shared" si="36"/>
        <v xml:space="preserve"> - </v>
      </c>
      <c r="I255" t="str">
        <f t="shared" si="31"/>
        <v/>
      </c>
      <c r="J255" t="str">
        <f t="shared" si="37"/>
        <v>Liverpool FC</v>
      </c>
      <c r="K255" t="str">
        <f t="shared" si="38"/>
        <v>Matchday 17</v>
      </c>
      <c r="L255" t="str">
        <f t="shared" si="39"/>
        <v>[Sat Jan/2]</v>
      </c>
    </row>
    <row r="256" spans="1:12">
      <c r="A256" t="str">
        <f>IF(Sheet1!A259="","",Sheet1!A259)</f>
        <v xml:space="preserve">  Tottenham Hotspur FC     -  Leeds United FC</v>
      </c>
      <c r="C256">
        <f t="shared" si="32"/>
        <v>21</v>
      </c>
      <c r="D256">
        <f t="shared" si="30"/>
        <v>28</v>
      </c>
      <c r="E256">
        <f t="shared" si="33"/>
        <v>44</v>
      </c>
      <c r="F256" t="str">
        <f t="shared" si="34"/>
        <v/>
      </c>
      <c r="G256" t="str">
        <f t="shared" si="35"/>
        <v xml:space="preserve">Tottenham Hotspur FC </v>
      </c>
      <c r="H256" t="str">
        <f t="shared" si="36"/>
        <v xml:space="preserve"> - </v>
      </c>
      <c r="I256" t="str">
        <f t="shared" si="31"/>
        <v/>
      </c>
      <c r="J256" t="str">
        <f t="shared" si="37"/>
        <v>Leeds United FC</v>
      </c>
      <c r="K256" t="str">
        <f t="shared" si="38"/>
        <v>Matchday 17</v>
      </c>
      <c r="L256" t="str">
        <f t="shared" si="39"/>
        <v>[Sat Jan/2]</v>
      </c>
    </row>
    <row r="257" spans="1:12">
      <c r="A257" t="str">
        <f>IF(Sheet1!A260="","",Sheet1!A260)</f>
        <v xml:space="preserve">  West Bromwich Albion FC  -  Arsenal FC</v>
      </c>
      <c r="C257">
        <f t="shared" si="32"/>
        <v>24</v>
      </c>
      <c r="D257">
        <f t="shared" si="30"/>
        <v>28</v>
      </c>
      <c r="E257">
        <f t="shared" si="33"/>
        <v>39</v>
      </c>
      <c r="F257" t="str">
        <f t="shared" si="34"/>
        <v/>
      </c>
      <c r="G257" t="str">
        <f t="shared" si="35"/>
        <v xml:space="preserve">West Bromwich Albion FC </v>
      </c>
      <c r="H257" t="str">
        <f t="shared" si="36"/>
        <v xml:space="preserve"> - </v>
      </c>
      <c r="I257" t="str">
        <f t="shared" si="31"/>
        <v/>
      </c>
      <c r="J257" t="str">
        <f t="shared" si="37"/>
        <v>Arsenal FC</v>
      </c>
      <c r="K257" t="str">
        <f t="shared" si="38"/>
        <v>Matchday 17</v>
      </c>
      <c r="L257" t="str">
        <f t="shared" si="39"/>
        <v>[Sat Jan/2]</v>
      </c>
    </row>
    <row r="258" spans="1:12" hidden="1">
      <c r="A258" t="str">
        <f>IF(Sheet1!A261="","",Sheet1!A261)</f>
        <v/>
      </c>
      <c r="C258" t="str">
        <f t="shared" si="32"/>
        <v/>
      </c>
      <c r="D258" t="str">
        <f t="shared" si="30"/>
        <v/>
      </c>
      <c r="E258" t="str">
        <f t="shared" si="33"/>
        <v/>
      </c>
      <c r="F258" t="str">
        <f t="shared" si="34"/>
        <v/>
      </c>
      <c r="G258" t="str">
        <f t="shared" si="35"/>
        <v/>
      </c>
      <c r="H258" t="str">
        <f t="shared" si="36"/>
        <v/>
      </c>
      <c r="I258" t="str">
        <f t="shared" si="31"/>
        <v/>
      </c>
      <c r="J258" t="str">
        <f t="shared" si="37"/>
        <v/>
      </c>
      <c r="K258" t="str">
        <f t="shared" si="38"/>
        <v>Matchday 17</v>
      </c>
      <c r="L258" t="str">
        <f t="shared" si="39"/>
        <v/>
      </c>
    </row>
    <row r="259" spans="1:12" hidden="1">
      <c r="A259" t="str">
        <f>IF(Sheet1!A262="","",Sheet1!A262)</f>
        <v/>
      </c>
      <c r="C259" t="str">
        <f t="shared" si="32"/>
        <v/>
      </c>
      <c r="D259" t="str">
        <f t="shared" ref="D259:D322" si="40">IFERROR(FIND("-",A259),"")</f>
        <v/>
      </c>
      <c r="E259" t="str">
        <f t="shared" si="33"/>
        <v/>
      </c>
      <c r="F259" t="str">
        <f t="shared" si="34"/>
        <v/>
      </c>
      <c r="G259" t="str">
        <f t="shared" si="35"/>
        <v/>
      </c>
      <c r="H259" t="str">
        <f t="shared" si="36"/>
        <v/>
      </c>
      <c r="I259" t="str">
        <f t="shared" ref="I259:I322" si="41">IFERROR(IF(LEFT(H259,1)=" ","",MID(A259,D259+4,3)),"")</f>
        <v/>
      </c>
      <c r="J259" t="str">
        <f t="shared" si="37"/>
        <v/>
      </c>
      <c r="K259" t="str">
        <f t="shared" si="38"/>
        <v>Matchday 17</v>
      </c>
      <c r="L259" t="str">
        <f t="shared" si="39"/>
        <v/>
      </c>
    </row>
    <row r="260" spans="1:12" hidden="1">
      <c r="A260" t="str">
        <f>IF(Sheet1!A263="","",Sheet1!A263)</f>
        <v>Matchday 18</v>
      </c>
      <c r="C260" t="str">
        <f t="shared" ref="C260:C323" si="42">IFERROR(FIND("FC",SUBSTITUTE(A260,"Manchester United","Manchester United FC")),"")</f>
        <v/>
      </c>
      <c r="D260" t="str">
        <f t="shared" si="40"/>
        <v/>
      </c>
      <c r="E260" t="str">
        <f t="shared" ref="E260:E323" si="43">IFERROR(FIND("FC",SUBSTITUTE(A260,"Manchester United","Manchester United FC"),D260),"")</f>
        <v/>
      </c>
      <c r="F260" t="str">
        <f t="shared" ref="F260:F323" si="44">IFERROR(IF(VALUE(MID($A260,3,2))&lt;25,MID($A260,3,5),""),"")</f>
        <v/>
      </c>
      <c r="G260" t="str">
        <f t="shared" ref="G260:G323" si="45">IFERROR(IFERROR(IF(VALUE(MID($A260,3,2))&lt;25,MID($A260,10,C260-8),""),MID(A260,3,C260)),"")</f>
        <v/>
      </c>
      <c r="H260" t="str">
        <f t="shared" ref="H260:H323" si="46">IFERROR(MID(A260,D260-1,3),"")</f>
        <v/>
      </c>
      <c r="I260" t="str">
        <f t="shared" si="41"/>
        <v/>
      </c>
      <c r="J260" t="str">
        <f t="shared" ref="J260:J323" si="47">IFERROR(IFERROR(IF(VALUE(MID($A260,3,2))&lt;25,MID($A260,D260+10,E260-8),""),MID(A260,D260+3,E260)),"")</f>
        <v/>
      </c>
      <c r="K260" t="str">
        <f t="shared" ref="K260:K323" si="48">IF(LEFT(A258,8)="Matchday",A258,K259)</f>
        <v>Matchday 17</v>
      </c>
      <c r="L260" t="str">
        <f t="shared" ref="L260:L323" si="49">IF(C260="","",IF(LEFT(A259,1)="[",A259,L259))</f>
        <v/>
      </c>
    </row>
    <row r="261" spans="1:12" hidden="1">
      <c r="A261" t="str">
        <f>IF(Sheet1!A264="","",Sheet1!A264)</f>
        <v>[Tue Jan/12]</v>
      </c>
      <c r="C261" t="str">
        <f t="shared" si="42"/>
        <v/>
      </c>
      <c r="D261" t="str">
        <f t="shared" si="40"/>
        <v/>
      </c>
      <c r="E261" t="str">
        <f t="shared" si="43"/>
        <v/>
      </c>
      <c r="F261" t="str">
        <f t="shared" si="44"/>
        <v/>
      </c>
      <c r="G261" t="str">
        <f t="shared" si="45"/>
        <v/>
      </c>
      <c r="H261" t="str">
        <f t="shared" si="46"/>
        <v/>
      </c>
      <c r="I261" t="str">
        <f t="shared" si="41"/>
        <v/>
      </c>
      <c r="J261" t="str">
        <f t="shared" si="47"/>
        <v/>
      </c>
      <c r="K261" t="str">
        <f t="shared" si="48"/>
        <v>Matchday 17</v>
      </c>
      <c r="L261" t="str">
        <f t="shared" si="49"/>
        <v/>
      </c>
    </row>
    <row r="262" spans="1:12">
      <c r="A262" t="str">
        <f>IF(Sheet1!A265="","",Sheet1!A265)</f>
        <v xml:space="preserve">  19.45  Arsenal FC               -  Crystal Palace FC</v>
      </c>
      <c r="C262">
        <f t="shared" si="42"/>
        <v>18</v>
      </c>
      <c r="D262">
        <f t="shared" si="40"/>
        <v>35</v>
      </c>
      <c r="E262">
        <f t="shared" si="43"/>
        <v>53</v>
      </c>
      <c r="F262" t="str">
        <f t="shared" si="44"/>
        <v>19.45</v>
      </c>
      <c r="G262" t="str">
        <f t="shared" si="45"/>
        <v>Arsenal FC</v>
      </c>
      <c r="H262" t="str">
        <f t="shared" si="46"/>
        <v xml:space="preserve"> - </v>
      </c>
      <c r="I262" t="str">
        <f t="shared" si="41"/>
        <v/>
      </c>
      <c r="J262" t="str">
        <f t="shared" si="47"/>
        <v xml:space="preserve"> Palace FC</v>
      </c>
      <c r="K262" t="str">
        <f t="shared" si="48"/>
        <v>Matchday 18</v>
      </c>
      <c r="L262" t="str">
        <f t="shared" si="49"/>
        <v>[Tue Jan/12]</v>
      </c>
    </row>
    <row r="263" spans="1:12">
      <c r="A263" t="str">
        <f>IF(Sheet1!A266="","",Sheet1!A266)</f>
        <v xml:space="preserve">         Aston Villa FC           -  Tottenham Hotspur FC</v>
      </c>
      <c r="C263">
        <f t="shared" si="42"/>
        <v>22</v>
      </c>
      <c r="D263">
        <f t="shared" si="40"/>
        <v>35</v>
      </c>
      <c r="E263">
        <f t="shared" si="43"/>
        <v>56</v>
      </c>
      <c r="F263" t="str">
        <f t="shared" si="44"/>
        <v/>
      </c>
      <c r="G263" t="str">
        <f t="shared" si="45"/>
        <v xml:space="preserve">       Aston Villa FC </v>
      </c>
      <c r="H263" t="str">
        <f t="shared" si="46"/>
        <v xml:space="preserve"> - </v>
      </c>
      <c r="I263" t="str">
        <f t="shared" si="41"/>
        <v/>
      </c>
      <c r="J263" t="str">
        <f t="shared" si="47"/>
        <v>Tottenham Hotspur FC</v>
      </c>
      <c r="K263" t="str">
        <f t="shared" si="48"/>
        <v>Matchday 18</v>
      </c>
      <c r="L263" t="str">
        <f t="shared" si="49"/>
        <v>[Tue Jan/12]</v>
      </c>
    </row>
    <row r="264" spans="1:12">
      <c r="A264" t="str">
        <f>IF(Sheet1!A267="","",Sheet1!A267)</f>
        <v xml:space="preserve">         Fulham FC                -  Manchester United</v>
      </c>
      <c r="C264">
        <f t="shared" si="42"/>
        <v>17</v>
      </c>
      <c r="D264">
        <f t="shared" si="40"/>
        <v>35</v>
      </c>
      <c r="E264">
        <f t="shared" si="43"/>
        <v>56</v>
      </c>
      <c r="F264" t="str">
        <f t="shared" si="44"/>
        <v/>
      </c>
      <c r="G264" t="str">
        <f t="shared" si="45"/>
        <v xml:space="preserve">       Fulham FC </v>
      </c>
      <c r="H264" t="str">
        <f t="shared" si="46"/>
        <v xml:space="preserve"> - </v>
      </c>
      <c r="I264" t="str">
        <f t="shared" si="41"/>
        <v/>
      </c>
      <c r="J264" t="str">
        <f t="shared" si="47"/>
        <v>Manchester United</v>
      </c>
      <c r="K264" t="str">
        <f t="shared" si="48"/>
        <v>Matchday 18</v>
      </c>
      <c r="L264" t="str">
        <f t="shared" si="49"/>
        <v>[Tue Jan/12]</v>
      </c>
    </row>
    <row r="265" spans="1:12">
      <c r="A265" t="str">
        <f>IF(Sheet1!A268="","",Sheet1!A268)</f>
        <v xml:space="preserve">         Leeds United FC          -  Southampton FC</v>
      </c>
      <c r="C265">
        <f t="shared" si="42"/>
        <v>23</v>
      </c>
      <c r="D265">
        <f t="shared" si="40"/>
        <v>35</v>
      </c>
      <c r="E265">
        <f t="shared" si="43"/>
        <v>50</v>
      </c>
      <c r="F265" t="str">
        <f t="shared" si="44"/>
        <v/>
      </c>
      <c r="G265" t="str">
        <f t="shared" si="45"/>
        <v xml:space="preserve">       Leeds United FC </v>
      </c>
      <c r="H265" t="str">
        <f t="shared" si="46"/>
        <v xml:space="preserve"> - </v>
      </c>
      <c r="I265" t="str">
        <f t="shared" si="41"/>
        <v/>
      </c>
      <c r="J265" t="str">
        <f t="shared" si="47"/>
        <v>Southampton FC</v>
      </c>
      <c r="K265" t="str">
        <f t="shared" si="48"/>
        <v>Matchday 18</v>
      </c>
      <c r="L265" t="str">
        <f t="shared" si="49"/>
        <v>[Tue Jan/12]</v>
      </c>
    </row>
    <row r="266" spans="1:12">
      <c r="A266" t="str">
        <f>IF(Sheet1!A269="","",Sheet1!A269)</f>
        <v xml:space="preserve">         Leicester City FC        -  Chelsea FC</v>
      </c>
      <c r="C266">
        <f t="shared" si="42"/>
        <v>25</v>
      </c>
      <c r="D266">
        <f t="shared" si="40"/>
        <v>35</v>
      </c>
      <c r="E266">
        <f t="shared" si="43"/>
        <v>46</v>
      </c>
      <c r="F266" t="str">
        <f t="shared" si="44"/>
        <v/>
      </c>
      <c r="G266" t="str">
        <f t="shared" si="45"/>
        <v xml:space="preserve">       Leicester City FC </v>
      </c>
      <c r="H266" t="str">
        <f t="shared" si="46"/>
        <v xml:space="preserve"> - </v>
      </c>
      <c r="I266" t="str">
        <f t="shared" si="41"/>
        <v/>
      </c>
      <c r="J266" t="str">
        <f t="shared" si="47"/>
        <v>Chelsea FC</v>
      </c>
      <c r="K266" t="str">
        <f t="shared" si="48"/>
        <v>Matchday 18</v>
      </c>
      <c r="L266" t="str">
        <f t="shared" si="49"/>
        <v>[Tue Jan/12]</v>
      </c>
    </row>
    <row r="267" spans="1:12">
      <c r="A267" t="str">
        <f>IF(Sheet1!A270="","",Sheet1!A270)</f>
        <v xml:space="preserve">         Sheffield United FC      -  Newcastle United FC</v>
      </c>
      <c r="C267">
        <f t="shared" si="42"/>
        <v>27</v>
      </c>
      <c r="D267">
        <f t="shared" si="40"/>
        <v>35</v>
      </c>
      <c r="E267">
        <f t="shared" si="43"/>
        <v>55</v>
      </c>
      <c r="F267" t="str">
        <f t="shared" si="44"/>
        <v/>
      </c>
      <c r="G267" t="str">
        <f t="shared" si="45"/>
        <v xml:space="preserve">       Sheffield United FC </v>
      </c>
      <c r="H267" t="str">
        <f t="shared" si="46"/>
        <v xml:space="preserve"> - </v>
      </c>
      <c r="I267" t="str">
        <f t="shared" si="41"/>
        <v/>
      </c>
      <c r="J267" t="str">
        <f t="shared" si="47"/>
        <v>Newcastle United FC</v>
      </c>
      <c r="K267" t="str">
        <f t="shared" si="48"/>
        <v>Matchday 18</v>
      </c>
      <c r="L267" t="str">
        <f t="shared" si="49"/>
        <v>[Tue Jan/12]</v>
      </c>
    </row>
    <row r="268" spans="1:12">
      <c r="A268" t="str">
        <f>IF(Sheet1!A271="","",Sheet1!A271)</f>
        <v xml:space="preserve">         West Ham United FC       -  West Bromwich Albion FC</v>
      </c>
      <c r="C268">
        <f t="shared" si="42"/>
        <v>26</v>
      </c>
      <c r="D268">
        <f t="shared" si="40"/>
        <v>35</v>
      </c>
      <c r="E268">
        <f t="shared" si="43"/>
        <v>59</v>
      </c>
      <c r="F268" t="str">
        <f t="shared" si="44"/>
        <v/>
      </c>
      <c r="G268" t="str">
        <f t="shared" si="45"/>
        <v xml:space="preserve">       West Ham United FC </v>
      </c>
      <c r="H268" t="str">
        <f t="shared" si="46"/>
        <v xml:space="preserve"> - </v>
      </c>
      <c r="I268" t="str">
        <f t="shared" si="41"/>
        <v/>
      </c>
      <c r="J268" t="str">
        <f t="shared" si="47"/>
        <v>West Bromwich Albion FC</v>
      </c>
      <c r="K268" t="str">
        <f t="shared" si="48"/>
        <v>Matchday 18</v>
      </c>
      <c r="L268" t="str">
        <f t="shared" si="49"/>
        <v>[Tue Jan/12]</v>
      </c>
    </row>
    <row r="269" spans="1:12">
      <c r="A269" t="str">
        <f>IF(Sheet1!A272="","",Sheet1!A272)</f>
        <v xml:space="preserve">         Wolverhampton Wanderers FC  -  Everton FC</v>
      </c>
      <c r="C269">
        <f t="shared" si="42"/>
        <v>34</v>
      </c>
      <c r="D269">
        <f t="shared" si="40"/>
        <v>38</v>
      </c>
      <c r="E269">
        <f t="shared" si="43"/>
        <v>49</v>
      </c>
      <c r="F269" t="str">
        <f t="shared" si="44"/>
        <v/>
      </c>
      <c r="G269" t="str">
        <f t="shared" si="45"/>
        <v xml:space="preserve">       Wolverhampton Wanderers FC </v>
      </c>
      <c r="H269" t="str">
        <f t="shared" si="46"/>
        <v xml:space="preserve"> - </v>
      </c>
      <c r="I269" t="str">
        <f t="shared" si="41"/>
        <v/>
      </c>
      <c r="J269" t="str">
        <f t="shared" si="47"/>
        <v>Everton FC</v>
      </c>
      <c r="K269" t="str">
        <f t="shared" si="48"/>
        <v>Matchday 18</v>
      </c>
      <c r="L269" t="str">
        <f t="shared" si="49"/>
        <v>[Tue Jan/12]</v>
      </c>
    </row>
    <row r="270" spans="1:12" hidden="1">
      <c r="A270" t="str">
        <f>IF(Sheet1!A273="","",Sheet1!A273)</f>
        <v>[Wed Jan/13]</v>
      </c>
      <c r="C270" t="str">
        <f t="shared" si="42"/>
        <v/>
      </c>
      <c r="D270" t="str">
        <f t="shared" si="40"/>
        <v/>
      </c>
      <c r="E270" t="str">
        <f t="shared" si="43"/>
        <v/>
      </c>
      <c r="F270" t="str">
        <f t="shared" si="44"/>
        <v/>
      </c>
      <c r="G270" t="str">
        <f t="shared" si="45"/>
        <v/>
      </c>
      <c r="H270" t="str">
        <f t="shared" si="46"/>
        <v/>
      </c>
      <c r="I270" t="str">
        <f t="shared" si="41"/>
        <v/>
      </c>
      <c r="J270" t="str">
        <f t="shared" si="47"/>
        <v/>
      </c>
      <c r="K270" t="str">
        <f t="shared" si="48"/>
        <v>Matchday 18</v>
      </c>
      <c r="L270" t="str">
        <f t="shared" si="49"/>
        <v/>
      </c>
    </row>
    <row r="271" spans="1:12">
      <c r="A271" t="str">
        <f>IF(Sheet1!A274="","",Sheet1!A274)</f>
        <v xml:space="preserve">  20.00  Liverpool FC             -  Burnley FC</v>
      </c>
      <c r="C271">
        <f t="shared" si="42"/>
        <v>20</v>
      </c>
      <c r="D271">
        <f t="shared" si="40"/>
        <v>35</v>
      </c>
      <c r="E271">
        <f t="shared" si="43"/>
        <v>46</v>
      </c>
      <c r="F271" t="str">
        <f t="shared" si="44"/>
        <v>20.00</v>
      </c>
      <c r="G271" t="str">
        <f t="shared" si="45"/>
        <v>Liverpool FC</v>
      </c>
      <c r="H271" t="str">
        <f t="shared" si="46"/>
        <v xml:space="preserve"> - </v>
      </c>
      <c r="I271" t="str">
        <f t="shared" si="41"/>
        <v/>
      </c>
      <c r="J271" t="str">
        <f t="shared" si="47"/>
        <v xml:space="preserve"> FC</v>
      </c>
      <c r="K271" t="str">
        <f t="shared" si="48"/>
        <v>Matchday 18</v>
      </c>
      <c r="L271" t="str">
        <f t="shared" si="49"/>
        <v>[Wed Jan/13]</v>
      </c>
    </row>
    <row r="272" spans="1:12">
      <c r="A272" t="str">
        <f>IF(Sheet1!A275="","",Sheet1!A275)</f>
        <v xml:space="preserve">         Manchester City FC       -  Brighton &amp; Hove Albion FC</v>
      </c>
      <c r="C272">
        <f t="shared" si="42"/>
        <v>26</v>
      </c>
      <c r="D272">
        <f t="shared" si="40"/>
        <v>35</v>
      </c>
      <c r="E272">
        <f t="shared" si="43"/>
        <v>61</v>
      </c>
      <c r="F272" t="str">
        <f t="shared" si="44"/>
        <v/>
      </c>
      <c r="G272" t="str">
        <f t="shared" si="45"/>
        <v xml:space="preserve">       Manchester City FC </v>
      </c>
      <c r="H272" t="str">
        <f t="shared" si="46"/>
        <v xml:space="preserve"> - </v>
      </c>
      <c r="I272" t="str">
        <f t="shared" si="41"/>
        <v/>
      </c>
      <c r="J272" t="str">
        <f t="shared" si="47"/>
        <v>Brighton &amp; Hove Albion FC</v>
      </c>
      <c r="K272" t="str">
        <f t="shared" si="48"/>
        <v>Matchday 18</v>
      </c>
      <c r="L272" t="str">
        <f t="shared" si="49"/>
        <v>[Wed Jan/13]</v>
      </c>
    </row>
    <row r="273" spans="1:12" hidden="1">
      <c r="A273" t="str">
        <f>IF(Sheet1!A276="","",Sheet1!A276)</f>
        <v/>
      </c>
      <c r="C273" t="str">
        <f t="shared" si="42"/>
        <v/>
      </c>
      <c r="D273" t="str">
        <f t="shared" si="40"/>
        <v/>
      </c>
      <c r="E273" t="str">
        <f t="shared" si="43"/>
        <v/>
      </c>
      <c r="F273" t="str">
        <f t="shared" si="44"/>
        <v/>
      </c>
      <c r="G273" t="str">
        <f t="shared" si="45"/>
        <v/>
      </c>
      <c r="H273" t="str">
        <f t="shared" si="46"/>
        <v/>
      </c>
      <c r="I273" t="str">
        <f t="shared" si="41"/>
        <v/>
      </c>
      <c r="J273" t="str">
        <f t="shared" si="47"/>
        <v/>
      </c>
      <c r="K273" t="str">
        <f t="shared" si="48"/>
        <v>Matchday 18</v>
      </c>
      <c r="L273" t="str">
        <f t="shared" si="49"/>
        <v/>
      </c>
    </row>
    <row r="274" spans="1:12" hidden="1">
      <c r="A274" t="str">
        <f>IF(Sheet1!A277="","",Sheet1!A277)</f>
        <v/>
      </c>
      <c r="C274" t="str">
        <f t="shared" si="42"/>
        <v/>
      </c>
      <c r="D274" t="str">
        <f t="shared" si="40"/>
        <v/>
      </c>
      <c r="E274" t="str">
        <f t="shared" si="43"/>
        <v/>
      </c>
      <c r="F274" t="str">
        <f t="shared" si="44"/>
        <v/>
      </c>
      <c r="G274" t="str">
        <f t="shared" si="45"/>
        <v/>
      </c>
      <c r="H274" t="str">
        <f t="shared" si="46"/>
        <v/>
      </c>
      <c r="I274" t="str">
        <f t="shared" si="41"/>
        <v/>
      </c>
      <c r="J274" t="str">
        <f t="shared" si="47"/>
        <v/>
      </c>
      <c r="K274" t="str">
        <f t="shared" si="48"/>
        <v>Matchday 18</v>
      </c>
      <c r="L274" t="str">
        <f t="shared" si="49"/>
        <v/>
      </c>
    </row>
    <row r="275" spans="1:12" hidden="1">
      <c r="A275" t="str">
        <f>IF(Sheet1!A278="","",Sheet1!A278)</f>
        <v>Matchday 19</v>
      </c>
      <c r="C275" t="str">
        <f t="shared" si="42"/>
        <v/>
      </c>
      <c r="D275" t="str">
        <f t="shared" si="40"/>
        <v/>
      </c>
      <c r="E275" t="str">
        <f t="shared" si="43"/>
        <v/>
      </c>
      <c r="F275" t="str">
        <f t="shared" si="44"/>
        <v/>
      </c>
      <c r="G275" t="str">
        <f t="shared" si="45"/>
        <v/>
      </c>
      <c r="H275" t="str">
        <f t="shared" si="46"/>
        <v/>
      </c>
      <c r="I275" t="str">
        <f t="shared" si="41"/>
        <v/>
      </c>
      <c r="J275" t="str">
        <f t="shared" si="47"/>
        <v/>
      </c>
      <c r="K275" t="str">
        <f t="shared" si="48"/>
        <v>Matchday 18</v>
      </c>
      <c r="L275" t="str">
        <f t="shared" si="49"/>
        <v/>
      </c>
    </row>
    <row r="276" spans="1:12" hidden="1">
      <c r="A276" t="str">
        <f>IF(Sheet1!A279="","",Sheet1!A279)</f>
        <v>[Sat Jan/16]</v>
      </c>
      <c r="C276" t="str">
        <f t="shared" si="42"/>
        <v/>
      </c>
      <c r="D276" t="str">
        <f t="shared" si="40"/>
        <v/>
      </c>
      <c r="E276" t="str">
        <f t="shared" si="43"/>
        <v/>
      </c>
      <c r="F276" t="str">
        <f t="shared" si="44"/>
        <v/>
      </c>
      <c r="G276" t="str">
        <f t="shared" si="45"/>
        <v/>
      </c>
      <c r="H276" t="str">
        <f t="shared" si="46"/>
        <v/>
      </c>
      <c r="I276" t="str">
        <f t="shared" si="41"/>
        <v/>
      </c>
      <c r="J276" t="str">
        <f t="shared" si="47"/>
        <v/>
      </c>
      <c r="K276" t="str">
        <f t="shared" si="48"/>
        <v>Matchday 18</v>
      </c>
      <c r="L276" t="str">
        <f t="shared" si="49"/>
        <v/>
      </c>
    </row>
    <row r="277" spans="1:12">
      <c r="A277" t="str">
        <f>IF(Sheet1!A280="","",Sheet1!A280)</f>
        <v xml:space="preserve">  Arsenal FC               -  Newcastle United FC</v>
      </c>
      <c r="C277">
        <f t="shared" si="42"/>
        <v>11</v>
      </c>
      <c r="D277">
        <f t="shared" si="40"/>
        <v>28</v>
      </c>
      <c r="E277">
        <f t="shared" si="43"/>
        <v>48</v>
      </c>
      <c r="F277" t="str">
        <f t="shared" si="44"/>
        <v/>
      </c>
      <c r="G277" t="str">
        <f t="shared" si="45"/>
        <v xml:space="preserve">Arsenal FC </v>
      </c>
      <c r="H277" t="str">
        <f t="shared" si="46"/>
        <v xml:space="preserve"> - </v>
      </c>
      <c r="I277" t="str">
        <f t="shared" si="41"/>
        <v/>
      </c>
      <c r="J277" t="str">
        <f t="shared" si="47"/>
        <v>Newcastle United FC</v>
      </c>
      <c r="K277" t="str">
        <f t="shared" si="48"/>
        <v>Matchday 19</v>
      </c>
      <c r="L277" t="str">
        <f t="shared" si="49"/>
        <v>[Sat Jan/16]</v>
      </c>
    </row>
    <row r="278" spans="1:12">
      <c r="A278" t="str">
        <f>IF(Sheet1!A281="","",Sheet1!A281)</f>
        <v xml:space="preserve">  Aston Villa FC           -  Everton FC</v>
      </c>
      <c r="C278">
        <f t="shared" si="42"/>
        <v>15</v>
      </c>
      <c r="D278">
        <f t="shared" si="40"/>
        <v>28</v>
      </c>
      <c r="E278">
        <f t="shared" si="43"/>
        <v>39</v>
      </c>
      <c r="F278" t="str">
        <f t="shared" si="44"/>
        <v/>
      </c>
      <c r="G278" t="str">
        <f t="shared" si="45"/>
        <v xml:space="preserve">Aston Villa FC </v>
      </c>
      <c r="H278" t="str">
        <f t="shared" si="46"/>
        <v xml:space="preserve"> - </v>
      </c>
      <c r="I278" t="str">
        <f t="shared" si="41"/>
        <v/>
      </c>
      <c r="J278" t="str">
        <f t="shared" si="47"/>
        <v>Everton FC</v>
      </c>
      <c r="K278" t="str">
        <f t="shared" si="48"/>
        <v>Matchday 19</v>
      </c>
      <c r="L278" t="str">
        <f t="shared" si="49"/>
        <v>[Sat Jan/16]</v>
      </c>
    </row>
    <row r="279" spans="1:12">
      <c r="A279" t="str">
        <f>IF(Sheet1!A282="","",Sheet1!A282)</f>
        <v xml:space="preserve">  Fulham FC                -  Chelsea FC</v>
      </c>
      <c r="C279">
        <f t="shared" si="42"/>
        <v>10</v>
      </c>
      <c r="D279">
        <f t="shared" si="40"/>
        <v>28</v>
      </c>
      <c r="E279">
        <f t="shared" si="43"/>
        <v>39</v>
      </c>
      <c r="F279" t="str">
        <f t="shared" si="44"/>
        <v/>
      </c>
      <c r="G279" t="str">
        <f t="shared" si="45"/>
        <v xml:space="preserve">Fulham FC </v>
      </c>
      <c r="H279" t="str">
        <f t="shared" si="46"/>
        <v xml:space="preserve"> - </v>
      </c>
      <c r="I279" t="str">
        <f t="shared" si="41"/>
        <v/>
      </c>
      <c r="J279" t="str">
        <f t="shared" si="47"/>
        <v>Chelsea FC</v>
      </c>
      <c r="K279" t="str">
        <f t="shared" si="48"/>
        <v>Matchday 19</v>
      </c>
      <c r="L279" t="str">
        <f t="shared" si="49"/>
        <v>[Sat Jan/16]</v>
      </c>
    </row>
    <row r="280" spans="1:12">
      <c r="A280" t="str">
        <f>IF(Sheet1!A283="","",Sheet1!A283)</f>
        <v xml:space="preserve">  Leeds United FC          -  Brighton &amp; Hove Albion FC</v>
      </c>
      <c r="C280">
        <f t="shared" si="42"/>
        <v>16</v>
      </c>
      <c r="D280">
        <f t="shared" si="40"/>
        <v>28</v>
      </c>
      <c r="E280">
        <f t="shared" si="43"/>
        <v>54</v>
      </c>
      <c r="F280" t="str">
        <f t="shared" si="44"/>
        <v/>
      </c>
      <c r="G280" t="str">
        <f t="shared" si="45"/>
        <v xml:space="preserve">Leeds United FC </v>
      </c>
      <c r="H280" t="str">
        <f t="shared" si="46"/>
        <v xml:space="preserve"> - </v>
      </c>
      <c r="I280" t="str">
        <f t="shared" si="41"/>
        <v/>
      </c>
      <c r="J280" t="str">
        <f t="shared" si="47"/>
        <v>Brighton &amp; Hove Albion FC</v>
      </c>
      <c r="K280" t="str">
        <f t="shared" si="48"/>
        <v>Matchday 19</v>
      </c>
      <c r="L280" t="str">
        <f t="shared" si="49"/>
        <v>[Sat Jan/16]</v>
      </c>
    </row>
    <row r="281" spans="1:12">
      <c r="A281" t="str">
        <f>IF(Sheet1!A284="","",Sheet1!A284)</f>
        <v xml:space="preserve">  Leicester City FC        -  Southampton FC</v>
      </c>
      <c r="C281">
        <f t="shared" si="42"/>
        <v>18</v>
      </c>
      <c r="D281">
        <f t="shared" si="40"/>
        <v>28</v>
      </c>
      <c r="E281">
        <f t="shared" si="43"/>
        <v>43</v>
      </c>
      <c r="F281" t="str">
        <f t="shared" si="44"/>
        <v/>
      </c>
      <c r="G281" t="str">
        <f t="shared" si="45"/>
        <v xml:space="preserve">Leicester City FC </v>
      </c>
      <c r="H281" t="str">
        <f t="shared" si="46"/>
        <v xml:space="preserve"> - </v>
      </c>
      <c r="I281" t="str">
        <f t="shared" si="41"/>
        <v/>
      </c>
      <c r="J281" t="str">
        <f t="shared" si="47"/>
        <v>Southampton FC</v>
      </c>
      <c r="K281" t="str">
        <f t="shared" si="48"/>
        <v>Matchday 19</v>
      </c>
      <c r="L281" t="str">
        <f t="shared" si="49"/>
        <v>[Sat Jan/16]</v>
      </c>
    </row>
    <row r="282" spans="1:12">
      <c r="A282" t="str">
        <f>IF(Sheet1!A285="","",Sheet1!A285)</f>
        <v xml:space="preserve">  Liverpool FC             -  Manchester United</v>
      </c>
      <c r="C282">
        <f t="shared" si="42"/>
        <v>13</v>
      </c>
      <c r="D282">
        <f t="shared" si="40"/>
        <v>28</v>
      </c>
      <c r="E282">
        <f t="shared" si="43"/>
        <v>49</v>
      </c>
      <c r="F282" t="str">
        <f t="shared" si="44"/>
        <v/>
      </c>
      <c r="G282" t="str">
        <f t="shared" si="45"/>
        <v xml:space="preserve">Liverpool FC </v>
      </c>
      <c r="H282" t="str">
        <f t="shared" si="46"/>
        <v xml:space="preserve"> - </v>
      </c>
      <c r="I282" t="str">
        <f t="shared" si="41"/>
        <v/>
      </c>
      <c r="J282" t="str">
        <f t="shared" si="47"/>
        <v>Manchester United</v>
      </c>
      <c r="K282" t="str">
        <f t="shared" si="48"/>
        <v>Matchday 19</v>
      </c>
      <c r="L282" t="str">
        <f t="shared" si="49"/>
        <v>[Sat Jan/16]</v>
      </c>
    </row>
    <row r="283" spans="1:12">
      <c r="A283" t="str">
        <f>IF(Sheet1!A286="","",Sheet1!A286)</f>
        <v xml:space="preserve">  Manchester City FC       -  Crystal Palace FC</v>
      </c>
      <c r="C283">
        <f t="shared" si="42"/>
        <v>19</v>
      </c>
      <c r="D283">
        <f t="shared" si="40"/>
        <v>28</v>
      </c>
      <c r="E283">
        <f t="shared" si="43"/>
        <v>46</v>
      </c>
      <c r="F283" t="str">
        <f t="shared" si="44"/>
        <v/>
      </c>
      <c r="G283" t="str">
        <f t="shared" si="45"/>
        <v xml:space="preserve">Manchester City FC </v>
      </c>
      <c r="H283" t="str">
        <f t="shared" si="46"/>
        <v xml:space="preserve"> - </v>
      </c>
      <c r="I283" t="str">
        <f t="shared" si="41"/>
        <v/>
      </c>
      <c r="J283" t="str">
        <f t="shared" si="47"/>
        <v>Crystal Palace FC</v>
      </c>
      <c r="K283" t="str">
        <f t="shared" si="48"/>
        <v>Matchday 19</v>
      </c>
      <c r="L283" t="str">
        <f t="shared" si="49"/>
        <v>[Sat Jan/16]</v>
      </c>
    </row>
    <row r="284" spans="1:12">
      <c r="A284" t="str">
        <f>IF(Sheet1!A287="","",Sheet1!A287)</f>
        <v xml:space="preserve">  Sheffield United FC      -  Tottenham Hotspur FC</v>
      </c>
      <c r="C284">
        <f t="shared" si="42"/>
        <v>20</v>
      </c>
      <c r="D284">
        <f t="shared" si="40"/>
        <v>28</v>
      </c>
      <c r="E284">
        <f t="shared" si="43"/>
        <v>49</v>
      </c>
      <c r="F284" t="str">
        <f t="shared" si="44"/>
        <v/>
      </c>
      <c r="G284" t="str">
        <f t="shared" si="45"/>
        <v xml:space="preserve">Sheffield United FC </v>
      </c>
      <c r="H284" t="str">
        <f t="shared" si="46"/>
        <v xml:space="preserve"> - </v>
      </c>
      <c r="I284" t="str">
        <f t="shared" si="41"/>
        <v/>
      </c>
      <c r="J284" t="str">
        <f t="shared" si="47"/>
        <v>Tottenham Hotspur FC</v>
      </c>
      <c r="K284" t="str">
        <f t="shared" si="48"/>
        <v>Matchday 19</v>
      </c>
      <c r="L284" t="str">
        <f t="shared" si="49"/>
        <v>[Sat Jan/16]</v>
      </c>
    </row>
    <row r="285" spans="1:12">
      <c r="A285" t="str">
        <f>IF(Sheet1!A288="","",Sheet1!A288)</f>
        <v xml:space="preserve">  West Ham United FC       -  Burnley FC</v>
      </c>
      <c r="C285">
        <f t="shared" si="42"/>
        <v>19</v>
      </c>
      <c r="D285">
        <f t="shared" si="40"/>
        <v>28</v>
      </c>
      <c r="E285">
        <f t="shared" si="43"/>
        <v>39</v>
      </c>
      <c r="F285" t="str">
        <f t="shared" si="44"/>
        <v/>
      </c>
      <c r="G285" t="str">
        <f t="shared" si="45"/>
        <v xml:space="preserve">West Ham United FC </v>
      </c>
      <c r="H285" t="str">
        <f t="shared" si="46"/>
        <v xml:space="preserve"> - </v>
      </c>
      <c r="I285" t="str">
        <f t="shared" si="41"/>
        <v/>
      </c>
      <c r="J285" t="str">
        <f t="shared" si="47"/>
        <v>Burnley FC</v>
      </c>
      <c r="K285" t="str">
        <f t="shared" si="48"/>
        <v>Matchday 19</v>
      </c>
      <c r="L285" t="str">
        <f t="shared" si="49"/>
        <v>[Sat Jan/16]</v>
      </c>
    </row>
    <row r="286" spans="1:12">
      <c r="A286" t="str">
        <f>IF(Sheet1!A289="","",Sheet1!A289)</f>
        <v xml:space="preserve">  Wolverhampton Wanderers FC  -  West Bromwich Albion FC</v>
      </c>
      <c r="C286">
        <f t="shared" si="42"/>
        <v>27</v>
      </c>
      <c r="D286">
        <f t="shared" si="40"/>
        <v>31</v>
      </c>
      <c r="E286">
        <f t="shared" si="43"/>
        <v>55</v>
      </c>
      <c r="F286" t="str">
        <f t="shared" si="44"/>
        <v/>
      </c>
      <c r="G286" t="str">
        <f t="shared" si="45"/>
        <v xml:space="preserve">Wolverhampton Wanderers FC </v>
      </c>
      <c r="H286" t="str">
        <f t="shared" si="46"/>
        <v xml:space="preserve"> - </v>
      </c>
      <c r="I286" t="str">
        <f t="shared" si="41"/>
        <v/>
      </c>
      <c r="J286" t="str">
        <f t="shared" si="47"/>
        <v>West Bromwich Albion FC</v>
      </c>
      <c r="K286" t="str">
        <f t="shared" si="48"/>
        <v>Matchday 19</v>
      </c>
      <c r="L286" t="str">
        <f t="shared" si="49"/>
        <v>[Sat Jan/16]</v>
      </c>
    </row>
    <row r="287" spans="1:12" hidden="1">
      <c r="A287" t="str">
        <f>IF(Sheet1!A290="","",Sheet1!A290)</f>
        <v/>
      </c>
      <c r="C287" t="str">
        <f t="shared" si="42"/>
        <v/>
      </c>
      <c r="D287" t="str">
        <f t="shared" si="40"/>
        <v/>
      </c>
      <c r="E287" t="str">
        <f t="shared" si="43"/>
        <v/>
      </c>
      <c r="F287" t="str">
        <f t="shared" si="44"/>
        <v/>
      </c>
      <c r="G287" t="str">
        <f t="shared" si="45"/>
        <v/>
      </c>
      <c r="H287" t="str">
        <f t="shared" si="46"/>
        <v/>
      </c>
      <c r="I287" t="str">
        <f t="shared" si="41"/>
        <v/>
      </c>
      <c r="J287" t="str">
        <f t="shared" si="47"/>
        <v/>
      </c>
      <c r="K287" t="str">
        <f t="shared" si="48"/>
        <v>Matchday 19</v>
      </c>
      <c r="L287" t="str">
        <f t="shared" si="49"/>
        <v/>
      </c>
    </row>
    <row r="288" spans="1:12" hidden="1">
      <c r="A288" t="str">
        <f>IF(Sheet1!A291="","",Sheet1!A291)</f>
        <v/>
      </c>
      <c r="C288" t="str">
        <f t="shared" si="42"/>
        <v/>
      </c>
      <c r="D288" t="str">
        <f t="shared" si="40"/>
        <v/>
      </c>
      <c r="E288" t="str">
        <f t="shared" si="43"/>
        <v/>
      </c>
      <c r="F288" t="str">
        <f t="shared" si="44"/>
        <v/>
      </c>
      <c r="G288" t="str">
        <f t="shared" si="45"/>
        <v/>
      </c>
      <c r="H288" t="str">
        <f t="shared" si="46"/>
        <v/>
      </c>
      <c r="I288" t="str">
        <f t="shared" si="41"/>
        <v/>
      </c>
      <c r="J288" t="str">
        <f t="shared" si="47"/>
        <v/>
      </c>
      <c r="K288" t="str">
        <f t="shared" si="48"/>
        <v>Matchday 19</v>
      </c>
      <c r="L288" t="str">
        <f t="shared" si="49"/>
        <v/>
      </c>
    </row>
    <row r="289" spans="1:12" hidden="1">
      <c r="A289" t="str">
        <f>IF(Sheet1!A292="","",Sheet1!A292)</f>
        <v>Matchday 20</v>
      </c>
      <c r="C289" t="str">
        <f t="shared" si="42"/>
        <v/>
      </c>
      <c r="D289" t="str">
        <f t="shared" si="40"/>
        <v/>
      </c>
      <c r="E289" t="str">
        <f t="shared" si="43"/>
        <v/>
      </c>
      <c r="F289" t="str">
        <f t="shared" si="44"/>
        <v/>
      </c>
      <c r="G289" t="str">
        <f t="shared" si="45"/>
        <v/>
      </c>
      <c r="H289" t="str">
        <f t="shared" si="46"/>
        <v/>
      </c>
      <c r="I289" t="str">
        <f t="shared" si="41"/>
        <v/>
      </c>
      <c r="J289" t="str">
        <f t="shared" si="47"/>
        <v/>
      </c>
      <c r="K289" t="str">
        <f t="shared" si="48"/>
        <v>Matchday 19</v>
      </c>
      <c r="L289" t="str">
        <f t="shared" si="49"/>
        <v/>
      </c>
    </row>
    <row r="290" spans="1:12" hidden="1">
      <c r="A290" t="str">
        <f>IF(Sheet1!A293="","",Sheet1!A293)</f>
        <v>[Tue Jan/26]</v>
      </c>
      <c r="C290" t="str">
        <f t="shared" si="42"/>
        <v/>
      </c>
      <c r="D290" t="str">
        <f t="shared" si="40"/>
        <v/>
      </c>
      <c r="E290" t="str">
        <f t="shared" si="43"/>
        <v/>
      </c>
      <c r="F290" t="str">
        <f t="shared" si="44"/>
        <v/>
      </c>
      <c r="G290" t="str">
        <f t="shared" si="45"/>
        <v/>
      </c>
      <c r="H290" t="str">
        <f t="shared" si="46"/>
        <v/>
      </c>
      <c r="I290" t="str">
        <f t="shared" si="41"/>
        <v/>
      </c>
      <c r="J290" t="str">
        <f t="shared" si="47"/>
        <v/>
      </c>
      <c r="K290" t="str">
        <f t="shared" si="48"/>
        <v>Matchday 19</v>
      </c>
      <c r="L290" t="str">
        <f t="shared" si="49"/>
        <v/>
      </c>
    </row>
    <row r="291" spans="1:12">
      <c r="A291" t="str">
        <f>IF(Sheet1!A294="","",Sheet1!A294)</f>
        <v xml:space="preserve">  19.45  Brighton &amp; Hove Albion FC  -  Fulham FC</v>
      </c>
      <c r="C291">
        <f t="shared" si="42"/>
        <v>33</v>
      </c>
      <c r="D291">
        <f t="shared" si="40"/>
        <v>37</v>
      </c>
      <c r="E291">
        <f t="shared" si="43"/>
        <v>47</v>
      </c>
      <c r="F291" t="str">
        <f t="shared" si="44"/>
        <v>19.45</v>
      </c>
      <c r="G291" t="str">
        <f t="shared" si="45"/>
        <v>Brighton &amp; Hove Albion FC</v>
      </c>
      <c r="H291" t="str">
        <f t="shared" si="46"/>
        <v xml:space="preserve"> - </v>
      </c>
      <c r="I291" t="str">
        <f t="shared" si="41"/>
        <v/>
      </c>
      <c r="J291" t="str">
        <f t="shared" si="47"/>
        <v>FC</v>
      </c>
      <c r="K291" t="str">
        <f t="shared" si="48"/>
        <v>Matchday 20</v>
      </c>
      <c r="L291" t="str">
        <f t="shared" si="49"/>
        <v>[Tue Jan/26]</v>
      </c>
    </row>
    <row r="292" spans="1:12">
      <c r="A292" t="str">
        <f>IF(Sheet1!A295="","",Sheet1!A295)</f>
        <v xml:space="preserve">         Burnley FC               -  Aston Villa FC</v>
      </c>
      <c r="C292">
        <f t="shared" si="42"/>
        <v>18</v>
      </c>
      <c r="D292">
        <f t="shared" si="40"/>
        <v>35</v>
      </c>
      <c r="E292">
        <f t="shared" si="43"/>
        <v>50</v>
      </c>
      <c r="F292" t="str">
        <f t="shared" si="44"/>
        <v/>
      </c>
      <c r="G292" t="str">
        <f t="shared" si="45"/>
        <v xml:space="preserve">       Burnley FC </v>
      </c>
      <c r="H292" t="str">
        <f t="shared" si="46"/>
        <v xml:space="preserve"> - </v>
      </c>
      <c r="I292" t="str">
        <f t="shared" si="41"/>
        <v/>
      </c>
      <c r="J292" t="str">
        <f t="shared" si="47"/>
        <v>Aston Villa FC</v>
      </c>
      <c r="K292" t="str">
        <f t="shared" si="48"/>
        <v>Matchday 20</v>
      </c>
      <c r="L292" t="str">
        <f t="shared" si="49"/>
        <v>[Tue Jan/26]</v>
      </c>
    </row>
    <row r="293" spans="1:12">
      <c r="A293" t="str">
        <f>IF(Sheet1!A296="","",Sheet1!A296)</f>
        <v xml:space="preserve">         Everton FC               -  Leicester City FC</v>
      </c>
      <c r="C293">
        <f t="shared" si="42"/>
        <v>18</v>
      </c>
      <c r="D293">
        <f t="shared" si="40"/>
        <v>35</v>
      </c>
      <c r="E293">
        <f t="shared" si="43"/>
        <v>53</v>
      </c>
      <c r="F293" t="str">
        <f t="shared" si="44"/>
        <v/>
      </c>
      <c r="G293" t="str">
        <f t="shared" si="45"/>
        <v xml:space="preserve">       Everton FC </v>
      </c>
      <c r="H293" t="str">
        <f t="shared" si="46"/>
        <v xml:space="preserve"> - </v>
      </c>
      <c r="I293" t="str">
        <f t="shared" si="41"/>
        <v/>
      </c>
      <c r="J293" t="str">
        <f t="shared" si="47"/>
        <v>Leicester City FC</v>
      </c>
      <c r="K293" t="str">
        <f t="shared" si="48"/>
        <v>Matchday 20</v>
      </c>
      <c r="L293" t="str">
        <f t="shared" si="49"/>
        <v>[Tue Jan/26]</v>
      </c>
    </row>
    <row r="294" spans="1:12">
      <c r="A294" t="str">
        <f>IF(Sheet1!A297="","",Sheet1!A297)</f>
        <v xml:space="preserve">  20.00  Manchester United        -  Sheffield United FC</v>
      </c>
      <c r="C294">
        <f t="shared" si="42"/>
        <v>28</v>
      </c>
      <c r="D294">
        <f t="shared" si="40"/>
        <v>35</v>
      </c>
      <c r="E294">
        <f t="shared" si="43"/>
        <v>58</v>
      </c>
      <c r="F294" t="str">
        <f t="shared" si="44"/>
        <v>20.00</v>
      </c>
      <c r="G294" t="str">
        <f t="shared" si="45"/>
        <v xml:space="preserve">Manchester United   </v>
      </c>
      <c r="H294" t="str">
        <f t="shared" si="46"/>
        <v xml:space="preserve"> - </v>
      </c>
      <c r="I294" t="str">
        <f t="shared" si="41"/>
        <v/>
      </c>
      <c r="J294" t="str">
        <f t="shared" si="47"/>
        <v>ld United FC</v>
      </c>
      <c r="K294" t="str">
        <f t="shared" si="48"/>
        <v>Matchday 20</v>
      </c>
      <c r="L294" t="str">
        <f t="shared" si="49"/>
        <v>[Tue Jan/26]</v>
      </c>
    </row>
    <row r="295" spans="1:12">
      <c r="A295" t="str">
        <f>IF(Sheet1!A298="","",Sheet1!A298)</f>
        <v xml:space="preserve">         West Bromwich Albion FC  -  Manchester City FC</v>
      </c>
      <c r="C295">
        <f t="shared" si="42"/>
        <v>31</v>
      </c>
      <c r="D295">
        <f t="shared" si="40"/>
        <v>35</v>
      </c>
      <c r="E295">
        <f t="shared" si="43"/>
        <v>54</v>
      </c>
      <c r="F295" t="str">
        <f t="shared" si="44"/>
        <v/>
      </c>
      <c r="G295" t="str">
        <f t="shared" si="45"/>
        <v xml:space="preserve">       West Bromwich Albion FC </v>
      </c>
      <c r="H295" t="str">
        <f t="shared" si="46"/>
        <v xml:space="preserve"> - </v>
      </c>
      <c r="I295" t="str">
        <f t="shared" si="41"/>
        <v/>
      </c>
      <c r="J295" t="str">
        <f t="shared" si="47"/>
        <v>Manchester City FC</v>
      </c>
      <c r="K295" t="str">
        <f t="shared" si="48"/>
        <v>Matchday 20</v>
      </c>
      <c r="L295" t="str">
        <f t="shared" si="49"/>
        <v>[Tue Jan/26]</v>
      </c>
    </row>
    <row r="296" spans="1:12" hidden="1">
      <c r="A296" t="str">
        <f>IF(Sheet1!A299="","",Sheet1!A299)</f>
        <v>[Wed Jan/27]</v>
      </c>
      <c r="C296" t="str">
        <f t="shared" si="42"/>
        <v/>
      </c>
      <c r="D296" t="str">
        <f t="shared" si="40"/>
        <v/>
      </c>
      <c r="E296" t="str">
        <f t="shared" si="43"/>
        <v/>
      </c>
      <c r="F296" t="str">
        <f t="shared" si="44"/>
        <v/>
      </c>
      <c r="G296" t="str">
        <f t="shared" si="45"/>
        <v/>
      </c>
      <c r="H296" t="str">
        <f t="shared" si="46"/>
        <v/>
      </c>
      <c r="I296" t="str">
        <f t="shared" si="41"/>
        <v/>
      </c>
      <c r="J296" t="str">
        <f t="shared" si="47"/>
        <v/>
      </c>
      <c r="K296" t="str">
        <f t="shared" si="48"/>
        <v>Matchday 20</v>
      </c>
      <c r="L296" t="str">
        <f t="shared" si="49"/>
        <v/>
      </c>
    </row>
    <row r="297" spans="1:12">
      <c r="A297" t="str">
        <f>IF(Sheet1!A300="","",Sheet1!A300)</f>
        <v xml:space="preserve">  19.45  Chelsea FC               -  Wolverhampton Wanderers FC</v>
      </c>
      <c r="C297">
        <f t="shared" si="42"/>
        <v>18</v>
      </c>
      <c r="D297">
        <f t="shared" si="40"/>
        <v>35</v>
      </c>
      <c r="E297">
        <f t="shared" si="43"/>
        <v>62</v>
      </c>
      <c r="F297" t="str">
        <f t="shared" si="44"/>
        <v>19.45</v>
      </c>
      <c r="G297" t="str">
        <f t="shared" si="45"/>
        <v>Chelsea FC</v>
      </c>
      <c r="H297" t="str">
        <f t="shared" si="46"/>
        <v xml:space="preserve"> - </v>
      </c>
      <c r="I297" t="str">
        <f t="shared" si="41"/>
        <v/>
      </c>
      <c r="J297" t="str">
        <f t="shared" si="47"/>
        <v>ampton Wanderers FC</v>
      </c>
      <c r="K297" t="str">
        <f t="shared" si="48"/>
        <v>Matchday 20</v>
      </c>
      <c r="L297" t="str">
        <f t="shared" si="49"/>
        <v>[Wed Jan/27]</v>
      </c>
    </row>
    <row r="298" spans="1:12">
      <c r="A298" t="str">
        <f>IF(Sheet1!A301="","",Sheet1!A301)</f>
        <v xml:space="preserve">         Newcastle United FC      -  Leeds United FC</v>
      </c>
      <c r="C298">
        <f t="shared" si="42"/>
        <v>27</v>
      </c>
      <c r="D298">
        <f t="shared" si="40"/>
        <v>35</v>
      </c>
      <c r="E298">
        <f t="shared" si="43"/>
        <v>51</v>
      </c>
      <c r="F298" t="str">
        <f t="shared" si="44"/>
        <v/>
      </c>
      <c r="G298" t="str">
        <f t="shared" si="45"/>
        <v xml:space="preserve">       Newcastle United FC </v>
      </c>
      <c r="H298" t="str">
        <f t="shared" si="46"/>
        <v xml:space="preserve"> - </v>
      </c>
      <c r="I298" t="str">
        <f t="shared" si="41"/>
        <v/>
      </c>
      <c r="J298" t="str">
        <f t="shared" si="47"/>
        <v>Leeds United FC</v>
      </c>
      <c r="K298" t="str">
        <f t="shared" si="48"/>
        <v>Matchday 20</v>
      </c>
      <c r="L298" t="str">
        <f t="shared" si="49"/>
        <v>[Wed Jan/27]</v>
      </c>
    </row>
    <row r="299" spans="1:12">
      <c r="A299" t="str">
        <f>IF(Sheet1!A302="","",Sheet1!A302)</f>
        <v xml:space="preserve">         Southampton FC           -  Arsenal FC</v>
      </c>
      <c r="C299">
        <f t="shared" si="42"/>
        <v>22</v>
      </c>
      <c r="D299">
        <f t="shared" si="40"/>
        <v>35</v>
      </c>
      <c r="E299">
        <f t="shared" si="43"/>
        <v>46</v>
      </c>
      <c r="F299" t="str">
        <f t="shared" si="44"/>
        <v/>
      </c>
      <c r="G299" t="str">
        <f t="shared" si="45"/>
        <v xml:space="preserve">       Southampton FC </v>
      </c>
      <c r="H299" t="str">
        <f t="shared" si="46"/>
        <v xml:space="preserve"> - </v>
      </c>
      <c r="I299" t="str">
        <f t="shared" si="41"/>
        <v/>
      </c>
      <c r="J299" t="str">
        <f t="shared" si="47"/>
        <v>Arsenal FC</v>
      </c>
      <c r="K299" t="str">
        <f t="shared" si="48"/>
        <v>Matchday 20</v>
      </c>
      <c r="L299" t="str">
        <f t="shared" si="49"/>
        <v>[Wed Jan/27]</v>
      </c>
    </row>
    <row r="300" spans="1:12">
      <c r="A300" t="str">
        <f>IF(Sheet1!A303="","",Sheet1!A303)</f>
        <v xml:space="preserve">         Tottenham Hotspur FC     -  Liverpool FC</v>
      </c>
      <c r="C300">
        <f t="shared" si="42"/>
        <v>28</v>
      </c>
      <c r="D300">
        <f t="shared" si="40"/>
        <v>35</v>
      </c>
      <c r="E300">
        <f t="shared" si="43"/>
        <v>48</v>
      </c>
      <c r="F300" t="str">
        <f t="shared" si="44"/>
        <v/>
      </c>
      <c r="G300" t="str">
        <f t="shared" si="45"/>
        <v xml:space="preserve">       Tottenham Hotspur FC </v>
      </c>
      <c r="H300" t="str">
        <f t="shared" si="46"/>
        <v xml:space="preserve"> - </v>
      </c>
      <c r="I300" t="str">
        <f t="shared" si="41"/>
        <v/>
      </c>
      <c r="J300" t="str">
        <f t="shared" si="47"/>
        <v>Liverpool FC</v>
      </c>
      <c r="K300" t="str">
        <f t="shared" si="48"/>
        <v>Matchday 20</v>
      </c>
      <c r="L300" t="str">
        <f t="shared" si="49"/>
        <v>[Wed Jan/27]</v>
      </c>
    </row>
    <row r="301" spans="1:12">
      <c r="A301" t="str">
        <f>IF(Sheet1!A304="","",Sheet1!A304)</f>
        <v xml:space="preserve">  20.00  Crystal Palace FC        -  West Ham United FC</v>
      </c>
      <c r="C301">
        <f t="shared" si="42"/>
        <v>25</v>
      </c>
      <c r="D301">
        <f t="shared" si="40"/>
        <v>35</v>
      </c>
      <c r="E301">
        <f t="shared" si="43"/>
        <v>54</v>
      </c>
      <c r="F301" t="str">
        <f t="shared" si="44"/>
        <v>20.00</v>
      </c>
      <c r="G301" t="str">
        <f t="shared" si="45"/>
        <v>Crystal Palace FC</v>
      </c>
      <c r="H301" t="str">
        <f t="shared" si="46"/>
        <v xml:space="preserve"> - </v>
      </c>
      <c r="I301" t="str">
        <f t="shared" si="41"/>
        <v/>
      </c>
      <c r="J301" t="str">
        <f t="shared" si="47"/>
        <v>m United FC</v>
      </c>
      <c r="K301" t="str">
        <f t="shared" si="48"/>
        <v>Matchday 20</v>
      </c>
      <c r="L301" t="str">
        <f t="shared" si="49"/>
        <v>[Wed Jan/27]</v>
      </c>
    </row>
    <row r="302" spans="1:12" hidden="1">
      <c r="A302" t="str">
        <f>IF(Sheet1!A305="","",Sheet1!A305)</f>
        <v/>
      </c>
      <c r="C302" t="str">
        <f t="shared" si="42"/>
        <v/>
      </c>
      <c r="D302" t="str">
        <f t="shared" si="40"/>
        <v/>
      </c>
      <c r="E302" t="str">
        <f t="shared" si="43"/>
        <v/>
      </c>
      <c r="F302" t="str">
        <f t="shared" si="44"/>
        <v/>
      </c>
      <c r="G302" t="str">
        <f t="shared" si="45"/>
        <v/>
      </c>
      <c r="H302" t="str">
        <f t="shared" si="46"/>
        <v/>
      </c>
      <c r="I302" t="str">
        <f t="shared" si="41"/>
        <v/>
      </c>
      <c r="J302" t="str">
        <f t="shared" si="47"/>
        <v/>
      </c>
      <c r="K302" t="str">
        <f t="shared" si="48"/>
        <v>Matchday 20</v>
      </c>
      <c r="L302" t="str">
        <f t="shared" si="49"/>
        <v/>
      </c>
    </row>
    <row r="303" spans="1:12" hidden="1">
      <c r="A303" t="str">
        <f>IF(Sheet1!A306="","",Sheet1!A306)</f>
        <v/>
      </c>
      <c r="C303" t="str">
        <f t="shared" si="42"/>
        <v/>
      </c>
      <c r="D303" t="str">
        <f t="shared" si="40"/>
        <v/>
      </c>
      <c r="E303" t="str">
        <f t="shared" si="43"/>
        <v/>
      </c>
      <c r="F303" t="str">
        <f t="shared" si="44"/>
        <v/>
      </c>
      <c r="G303" t="str">
        <f t="shared" si="45"/>
        <v/>
      </c>
      <c r="H303" t="str">
        <f t="shared" si="46"/>
        <v/>
      </c>
      <c r="I303" t="str">
        <f t="shared" si="41"/>
        <v/>
      </c>
      <c r="J303" t="str">
        <f t="shared" si="47"/>
        <v/>
      </c>
      <c r="K303" t="str">
        <f t="shared" si="48"/>
        <v>Matchday 20</v>
      </c>
      <c r="L303" t="str">
        <f t="shared" si="49"/>
        <v/>
      </c>
    </row>
    <row r="304" spans="1:12" hidden="1">
      <c r="A304" t="str">
        <f>IF(Sheet1!A307="","",Sheet1!A307)</f>
        <v>Matchday 21</v>
      </c>
      <c r="C304" t="str">
        <f t="shared" si="42"/>
        <v/>
      </c>
      <c r="D304" t="str">
        <f t="shared" si="40"/>
        <v/>
      </c>
      <c r="E304" t="str">
        <f t="shared" si="43"/>
        <v/>
      </c>
      <c r="F304" t="str">
        <f t="shared" si="44"/>
        <v/>
      </c>
      <c r="G304" t="str">
        <f t="shared" si="45"/>
        <v/>
      </c>
      <c r="H304" t="str">
        <f t="shared" si="46"/>
        <v/>
      </c>
      <c r="I304" t="str">
        <f t="shared" si="41"/>
        <v/>
      </c>
      <c r="J304" t="str">
        <f t="shared" si="47"/>
        <v/>
      </c>
      <c r="K304" t="str">
        <f t="shared" si="48"/>
        <v>Matchday 20</v>
      </c>
      <c r="L304" t="str">
        <f t="shared" si="49"/>
        <v/>
      </c>
    </row>
    <row r="305" spans="1:12" hidden="1">
      <c r="A305" t="str">
        <f>IF(Sheet1!A308="","",Sheet1!A308)</f>
        <v>[Sat Jan/30]</v>
      </c>
      <c r="C305" t="str">
        <f t="shared" si="42"/>
        <v/>
      </c>
      <c r="D305" t="str">
        <f t="shared" si="40"/>
        <v/>
      </c>
      <c r="E305" t="str">
        <f t="shared" si="43"/>
        <v/>
      </c>
      <c r="F305" t="str">
        <f t="shared" si="44"/>
        <v/>
      </c>
      <c r="G305" t="str">
        <f t="shared" si="45"/>
        <v/>
      </c>
      <c r="H305" t="str">
        <f t="shared" si="46"/>
        <v/>
      </c>
      <c r="I305" t="str">
        <f t="shared" si="41"/>
        <v/>
      </c>
      <c r="J305" t="str">
        <f t="shared" si="47"/>
        <v/>
      </c>
      <c r="K305" t="str">
        <f t="shared" si="48"/>
        <v>Matchday 20</v>
      </c>
      <c r="L305" t="str">
        <f t="shared" si="49"/>
        <v/>
      </c>
    </row>
    <row r="306" spans="1:12">
      <c r="A306" t="str">
        <f>IF(Sheet1!A309="","",Sheet1!A309)</f>
        <v xml:space="preserve">  Arsenal FC               -  Manchester United</v>
      </c>
      <c r="C306">
        <f t="shared" si="42"/>
        <v>11</v>
      </c>
      <c r="D306">
        <f t="shared" si="40"/>
        <v>28</v>
      </c>
      <c r="E306">
        <f t="shared" si="43"/>
        <v>49</v>
      </c>
      <c r="F306" t="str">
        <f t="shared" si="44"/>
        <v/>
      </c>
      <c r="G306" t="str">
        <f t="shared" si="45"/>
        <v xml:space="preserve">Arsenal FC </v>
      </c>
      <c r="H306" t="str">
        <f t="shared" si="46"/>
        <v xml:space="preserve"> - </v>
      </c>
      <c r="I306" t="str">
        <f t="shared" si="41"/>
        <v/>
      </c>
      <c r="J306" t="str">
        <f t="shared" si="47"/>
        <v>Manchester United</v>
      </c>
      <c r="K306" t="str">
        <f t="shared" si="48"/>
        <v>Matchday 21</v>
      </c>
      <c r="L306" t="str">
        <f t="shared" si="49"/>
        <v>[Sat Jan/30]</v>
      </c>
    </row>
    <row r="307" spans="1:12">
      <c r="A307" t="str">
        <f>IF(Sheet1!A310="","",Sheet1!A310)</f>
        <v xml:space="preserve">  Brighton &amp; Hove Albion FC  -  Tottenham Hotspur FC</v>
      </c>
      <c r="C307">
        <f t="shared" si="42"/>
        <v>26</v>
      </c>
      <c r="D307">
        <f t="shared" si="40"/>
        <v>30</v>
      </c>
      <c r="E307">
        <f t="shared" si="43"/>
        <v>51</v>
      </c>
      <c r="F307" t="str">
        <f t="shared" si="44"/>
        <v/>
      </c>
      <c r="G307" t="str">
        <f t="shared" si="45"/>
        <v xml:space="preserve">Brighton &amp; Hove Albion FC </v>
      </c>
      <c r="H307" t="str">
        <f t="shared" si="46"/>
        <v xml:space="preserve"> - </v>
      </c>
      <c r="I307" t="str">
        <f t="shared" si="41"/>
        <v/>
      </c>
      <c r="J307" t="str">
        <f t="shared" si="47"/>
        <v>Tottenham Hotspur FC</v>
      </c>
      <c r="K307" t="str">
        <f t="shared" si="48"/>
        <v>Matchday 21</v>
      </c>
      <c r="L307" t="str">
        <f t="shared" si="49"/>
        <v>[Sat Jan/30]</v>
      </c>
    </row>
    <row r="308" spans="1:12">
      <c r="A308" t="str">
        <f>IF(Sheet1!A311="","",Sheet1!A311)</f>
        <v xml:space="preserve">  Chelsea FC               -  Burnley FC</v>
      </c>
      <c r="C308">
        <f t="shared" si="42"/>
        <v>11</v>
      </c>
      <c r="D308">
        <f t="shared" si="40"/>
        <v>28</v>
      </c>
      <c r="E308">
        <f t="shared" si="43"/>
        <v>39</v>
      </c>
      <c r="F308" t="str">
        <f t="shared" si="44"/>
        <v/>
      </c>
      <c r="G308" t="str">
        <f t="shared" si="45"/>
        <v xml:space="preserve">Chelsea FC </v>
      </c>
      <c r="H308" t="str">
        <f t="shared" si="46"/>
        <v xml:space="preserve"> - </v>
      </c>
      <c r="I308" t="str">
        <f t="shared" si="41"/>
        <v/>
      </c>
      <c r="J308" t="str">
        <f t="shared" si="47"/>
        <v>Burnley FC</v>
      </c>
      <c r="K308" t="str">
        <f t="shared" si="48"/>
        <v>Matchday 21</v>
      </c>
      <c r="L308" t="str">
        <f t="shared" si="49"/>
        <v>[Sat Jan/30]</v>
      </c>
    </row>
    <row r="309" spans="1:12">
      <c r="A309" t="str">
        <f>IF(Sheet1!A312="","",Sheet1!A312)</f>
        <v xml:space="preserve">  Crystal Palace FC        -  Wolverhampton Wanderers FC</v>
      </c>
      <c r="C309">
        <f t="shared" si="42"/>
        <v>18</v>
      </c>
      <c r="D309">
        <f t="shared" si="40"/>
        <v>28</v>
      </c>
      <c r="E309">
        <f t="shared" si="43"/>
        <v>55</v>
      </c>
      <c r="F309" t="str">
        <f t="shared" si="44"/>
        <v/>
      </c>
      <c r="G309" t="str">
        <f t="shared" si="45"/>
        <v xml:space="preserve">Crystal Palace FC </v>
      </c>
      <c r="H309" t="str">
        <f t="shared" si="46"/>
        <v xml:space="preserve"> - </v>
      </c>
      <c r="I309" t="str">
        <f t="shared" si="41"/>
        <v/>
      </c>
      <c r="J309" t="str">
        <f t="shared" si="47"/>
        <v>Wolverhampton Wanderers FC</v>
      </c>
      <c r="K309" t="str">
        <f t="shared" si="48"/>
        <v>Matchday 21</v>
      </c>
      <c r="L309" t="str">
        <f t="shared" si="49"/>
        <v>[Sat Jan/30]</v>
      </c>
    </row>
    <row r="310" spans="1:12">
      <c r="A310" t="str">
        <f>IF(Sheet1!A313="","",Sheet1!A313)</f>
        <v xml:space="preserve">  Everton FC               -  Newcastle United FC</v>
      </c>
      <c r="C310">
        <f t="shared" si="42"/>
        <v>11</v>
      </c>
      <c r="D310">
        <f t="shared" si="40"/>
        <v>28</v>
      </c>
      <c r="E310">
        <f t="shared" si="43"/>
        <v>48</v>
      </c>
      <c r="F310" t="str">
        <f t="shared" si="44"/>
        <v/>
      </c>
      <c r="G310" t="str">
        <f t="shared" si="45"/>
        <v xml:space="preserve">Everton FC </v>
      </c>
      <c r="H310" t="str">
        <f t="shared" si="46"/>
        <v xml:space="preserve"> - </v>
      </c>
      <c r="I310" t="str">
        <f t="shared" si="41"/>
        <v/>
      </c>
      <c r="J310" t="str">
        <f t="shared" si="47"/>
        <v>Newcastle United FC</v>
      </c>
      <c r="K310" t="str">
        <f t="shared" si="48"/>
        <v>Matchday 21</v>
      </c>
      <c r="L310" t="str">
        <f t="shared" si="49"/>
        <v>[Sat Jan/30]</v>
      </c>
    </row>
    <row r="311" spans="1:12">
      <c r="A311" t="str">
        <f>IF(Sheet1!A314="","",Sheet1!A314)</f>
        <v xml:space="preserve">  Leicester City FC        -  Leeds United FC</v>
      </c>
      <c r="C311">
        <f t="shared" si="42"/>
        <v>18</v>
      </c>
      <c r="D311">
        <f t="shared" si="40"/>
        <v>28</v>
      </c>
      <c r="E311">
        <f t="shared" si="43"/>
        <v>44</v>
      </c>
      <c r="F311" t="str">
        <f t="shared" si="44"/>
        <v/>
      </c>
      <c r="G311" t="str">
        <f t="shared" si="45"/>
        <v xml:space="preserve">Leicester City FC </v>
      </c>
      <c r="H311" t="str">
        <f t="shared" si="46"/>
        <v xml:space="preserve"> - </v>
      </c>
      <c r="I311" t="str">
        <f t="shared" si="41"/>
        <v/>
      </c>
      <c r="J311" t="str">
        <f t="shared" si="47"/>
        <v>Leeds United FC</v>
      </c>
      <c r="K311" t="str">
        <f t="shared" si="48"/>
        <v>Matchday 21</v>
      </c>
      <c r="L311" t="str">
        <f t="shared" si="49"/>
        <v>[Sat Jan/30]</v>
      </c>
    </row>
    <row r="312" spans="1:12">
      <c r="A312" t="str">
        <f>IF(Sheet1!A315="","",Sheet1!A315)</f>
        <v xml:space="preserve">  Manchester City FC       -  Sheffield United FC</v>
      </c>
      <c r="C312">
        <f t="shared" si="42"/>
        <v>19</v>
      </c>
      <c r="D312">
        <f t="shared" si="40"/>
        <v>28</v>
      </c>
      <c r="E312">
        <f t="shared" si="43"/>
        <v>48</v>
      </c>
      <c r="F312" t="str">
        <f t="shared" si="44"/>
        <v/>
      </c>
      <c r="G312" t="str">
        <f t="shared" si="45"/>
        <v xml:space="preserve">Manchester City FC </v>
      </c>
      <c r="H312" t="str">
        <f t="shared" si="46"/>
        <v xml:space="preserve"> - </v>
      </c>
      <c r="I312" t="str">
        <f t="shared" si="41"/>
        <v/>
      </c>
      <c r="J312" t="str">
        <f t="shared" si="47"/>
        <v>Sheffield United FC</v>
      </c>
      <c r="K312" t="str">
        <f t="shared" si="48"/>
        <v>Matchday 21</v>
      </c>
      <c r="L312" t="str">
        <f t="shared" si="49"/>
        <v>[Sat Jan/30]</v>
      </c>
    </row>
    <row r="313" spans="1:12">
      <c r="A313" t="str">
        <f>IF(Sheet1!A316="","",Sheet1!A316)</f>
        <v xml:space="preserve">  Southampton FC           -  Aston Villa FC</v>
      </c>
      <c r="C313">
        <f t="shared" si="42"/>
        <v>15</v>
      </c>
      <c r="D313">
        <f t="shared" si="40"/>
        <v>28</v>
      </c>
      <c r="E313">
        <f t="shared" si="43"/>
        <v>43</v>
      </c>
      <c r="F313" t="str">
        <f t="shared" si="44"/>
        <v/>
      </c>
      <c r="G313" t="str">
        <f t="shared" si="45"/>
        <v xml:space="preserve">Southampton FC </v>
      </c>
      <c r="H313" t="str">
        <f t="shared" si="46"/>
        <v xml:space="preserve"> - </v>
      </c>
      <c r="I313" t="str">
        <f t="shared" si="41"/>
        <v/>
      </c>
      <c r="J313" t="str">
        <f t="shared" si="47"/>
        <v>Aston Villa FC</v>
      </c>
      <c r="K313" t="str">
        <f t="shared" si="48"/>
        <v>Matchday 21</v>
      </c>
      <c r="L313" t="str">
        <f t="shared" si="49"/>
        <v>[Sat Jan/30]</v>
      </c>
    </row>
    <row r="314" spans="1:12">
      <c r="A314" t="str">
        <f>IF(Sheet1!A317="","",Sheet1!A317)</f>
        <v xml:space="preserve">  West Bromwich Albion FC  -  Fulham FC</v>
      </c>
      <c r="C314">
        <f t="shared" si="42"/>
        <v>24</v>
      </c>
      <c r="D314">
        <f t="shared" si="40"/>
        <v>28</v>
      </c>
      <c r="E314">
        <f t="shared" si="43"/>
        <v>38</v>
      </c>
      <c r="F314" t="str">
        <f t="shared" si="44"/>
        <v/>
      </c>
      <c r="G314" t="str">
        <f t="shared" si="45"/>
        <v xml:space="preserve">West Bromwich Albion FC </v>
      </c>
      <c r="H314" t="str">
        <f t="shared" si="46"/>
        <v xml:space="preserve"> - </v>
      </c>
      <c r="I314" t="str">
        <f t="shared" si="41"/>
        <v/>
      </c>
      <c r="J314" t="str">
        <f t="shared" si="47"/>
        <v>Fulham FC</v>
      </c>
      <c r="K314" t="str">
        <f t="shared" si="48"/>
        <v>Matchday 21</v>
      </c>
      <c r="L314" t="str">
        <f t="shared" si="49"/>
        <v>[Sat Jan/30]</v>
      </c>
    </row>
    <row r="315" spans="1:12">
      <c r="A315" t="str">
        <f>IF(Sheet1!A318="","",Sheet1!A318)</f>
        <v xml:space="preserve">  West Ham United FC       -  Liverpool FC</v>
      </c>
      <c r="C315">
        <f t="shared" si="42"/>
        <v>19</v>
      </c>
      <c r="D315">
        <f t="shared" si="40"/>
        <v>28</v>
      </c>
      <c r="E315">
        <f t="shared" si="43"/>
        <v>41</v>
      </c>
      <c r="F315" t="str">
        <f t="shared" si="44"/>
        <v/>
      </c>
      <c r="G315" t="str">
        <f t="shared" si="45"/>
        <v xml:space="preserve">West Ham United FC </v>
      </c>
      <c r="H315" t="str">
        <f t="shared" si="46"/>
        <v xml:space="preserve"> - </v>
      </c>
      <c r="I315" t="str">
        <f t="shared" si="41"/>
        <v/>
      </c>
      <c r="J315" t="str">
        <f t="shared" si="47"/>
        <v>Liverpool FC</v>
      </c>
      <c r="K315" t="str">
        <f t="shared" si="48"/>
        <v>Matchday 21</v>
      </c>
      <c r="L315" t="str">
        <f t="shared" si="49"/>
        <v>[Sat Jan/30]</v>
      </c>
    </row>
    <row r="316" spans="1:12" hidden="1">
      <c r="A316" t="str">
        <f>IF(Sheet1!A319="","",Sheet1!A319)</f>
        <v/>
      </c>
      <c r="C316" t="str">
        <f t="shared" si="42"/>
        <v/>
      </c>
      <c r="D316" t="str">
        <f t="shared" si="40"/>
        <v/>
      </c>
      <c r="E316" t="str">
        <f t="shared" si="43"/>
        <v/>
      </c>
      <c r="F316" t="str">
        <f t="shared" si="44"/>
        <v/>
      </c>
      <c r="G316" t="str">
        <f t="shared" si="45"/>
        <v/>
      </c>
      <c r="H316" t="str">
        <f t="shared" si="46"/>
        <v/>
      </c>
      <c r="I316" t="str">
        <f t="shared" si="41"/>
        <v/>
      </c>
      <c r="J316" t="str">
        <f t="shared" si="47"/>
        <v/>
      </c>
      <c r="K316" t="str">
        <f t="shared" si="48"/>
        <v>Matchday 21</v>
      </c>
      <c r="L316" t="str">
        <f t="shared" si="49"/>
        <v/>
      </c>
    </row>
    <row r="317" spans="1:12" hidden="1">
      <c r="A317" t="str">
        <f>IF(Sheet1!A320="","",Sheet1!A320)</f>
        <v/>
      </c>
      <c r="C317" t="str">
        <f t="shared" si="42"/>
        <v/>
      </c>
      <c r="D317" t="str">
        <f t="shared" si="40"/>
        <v/>
      </c>
      <c r="E317" t="str">
        <f t="shared" si="43"/>
        <v/>
      </c>
      <c r="F317" t="str">
        <f t="shared" si="44"/>
        <v/>
      </c>
      <c r="G317" t="str">
        <f t="shared" si="45"/>
        <v/>
      </c>
      <c r="H317" t="str">
        <f t="shared" si="46"/>
        <v/>
      </c>
      <c r="I317" t="str">
        <f t="shared" si="41"/>
        <v/>
      </c>
      <c r="J317" t="str">
        <f t="shared" si="47"/>
        <v/>
      </c>
      <c r="K317" t="str">
        <f t="shared" si="48"/>
        <v>Matchday 21</v>
      </c>
      <c r="L317" t="str">
        <f t="shared" si="49"/>
        <v/>
      </c>
    </row>
    <row r="318" spans="1:12" hidden="1">
      <c r="A318" t="str">
        <f>IF(Sheet1!A321="","",Sheet1!A321)</f>
        <v>Matchday 22</v>
      </c>
      <c r="C318" t="str">
        <f t="shared" si="42"/>
        <v/>
      </c>
      <c r="D318" t="str">
        <f t="shared" si="40"/>
        <v/>
      </c>
      <c r="E318" t="str">
        <f t="shared" si="43"/>
        <v/>
      </c>
      <c r="F318" t="str">
        <f t="shared" si="44"/>
        <v/>
      </c>
      <c r="G318" t="str">
        <f t="shared" si="45"/>
        <v/>
      </c>
      <c r="H318" t="str">
        <f t="shared" si="46"/>
        <v/>
      </c>
      <c r="I318" t="str">
        <f t="shared" si="41"/>
        <v/>
      </c>
      <c r="J318" t="str">
        <f t="shared" si="47"/>
        <v/>
      </c>
      <c r="K318" t="str">
        <f t="shared" si="48"/>
        <v>Matchday 21</v>
      </c>
      <c r="L318" t="str">
        <f t="shared" si="49"/>
        <v/>
      </c>
    </row>
    <row r="319" spans="1:12" hidden="1">
      <c r="A319" t="str">
        <f>IF(Sheet1!A322="","",Sheet1!A322)</f>
        <v>[Tue Feb/2]</v>
      </c>
      <c r="C319" t="str">
        <f t="shared" si="42"/>
        <v/>
      </c>
      <c r="D319" t="str">
        <f t="shared" si="40"/>
        <v/>
      </c>
      <c r="E319" t="str">
        <f t="shared" si="43"/>
        <v/>
      </c>
      <c r="F319" t="str">
        <f t="shared" si="44"/>
        <v/>
      </c>
      <c r="G319" t="str">
        <f t="shared" si="45"/>
        <v/>
      </c>
      <c r="H319" t="str">
        <f t="shared" si="46"/>
        <v/>
      </c>
      <c r="I319" t="str">
        <f t="shared" si="41"/>
        <v/>
      </c>
      <c r="J319" t="str">
        <f t="shared" si="47"/>
        <v/>
      </c>
      <c r="K319" t="str">
        <f t="shared" si="48"/>
        <v>Matchday 21</v>
      </c>
      <c r="L319" t="str">
        <f t="shared" si="49"/>
        <v/>
      </c>
    </row>
    <row r="320" spans="1:12">
      <c r="A320" t="str">
        <f>IF(Sheet1!A323="","",Sheet1!A323)</f>
        <v xml:space="preserve">  19.45  Aston Villa FC           -  West Ham United FC</v>
      </c>
      <c r="C320">
        <f t="shared" si="42"/>
        <v>22</v>
      </c>
      <c r="D320">
        <f t="shared" si="40"/>
        <v>35</v>
      </c>
      <c r="E320">
        <f t="shared" si="43"/>
        <v>54</v>
      </c>
      <c r="F320" t="str">
        <f t="shared" si="44"/>
        <v>19.45</v>
      </c>
      <c r="G320" t="str">
        <f t="shared" si="45"/>
        <v>Aston Villa FC</v>
      </c>
      <c r="H320" t="str">
        <f t="shared" si="46"/>
        <v xml:space="preserve"> - </v>
      </c>
      <c r="I320" t="str">
        <f t="shared" si="41"/>
        <v/>
      </c>
      <c r="J320" t="str">
        <f t="shared" si="47"/>
        <v>m United FC</v>
      </c>
      <c r="K320" t="str">
        <f t="shared" si="48"/>
        <v>Matchday 22</v>
      </c>
      <c r="L320" t="str">
        <f t="shared" si="49"/>
        <v>[Tue Feb/2]</v>
      </c>
    </row>
    <row r="321" spans="1:12">
      <c r="A321" t="str">
        <f>IF(Sheet1!A324="","",Sheet1!A324)</f>
        <v xml:space="preserve">         Burnley FC               -  Manchester City FC</v>
      </c>
      <c r="C321">
        <f t="shared" si="42"/>
        <v>18</v>
      </c>
      <c r="D321">
        <f t="shared" si="40"/>
        <v>35</v>
      </c>
      <c r="E321">
        <f t="shared" si="43"/>
        <v>54</v>
      </c>
      <c r="F321" t="str">
        <f t="shared" si="44"/>
        <v/>
      </c>
      <c r="G321" t="str">
        <f t="shared" si="45"/>
        <v xml:space="preserve">       Burnley FC </v>
      </c>
      <c r="H321" t="str">
        <f t="shared" si="46"/>
        <v xml:space="preserve"> - </v>
      </c>
      <c r="I321" t="str">
        <f t="shared" si="41"/>
        <v/>
      </c>
      <c r="J321" t="str">
        <f t="shared" si="47"/>
        <v>Manchester City FC</v>
      </c>
      <c r="K321" t="str">
        <f t="shared" si="48"/>
        <v>Matchday 22</v>
      </c>
      <c r="L321" t="str">
        <f t="shared" si="49"/>
        <v>[Tue Feb/2]</v>
      </c>
    </row>
    <row r="322" spans="1:12">
      <c r="A322" t="str">
        <f>IF(Sheet1!A325="","",Sheet1!A325)</f>
        <v xml:space="preserve">         Fulham FC                -  Leicester City FC</v>
      </c>
      <c r="C322">
        <f t="shared" si="42"/>
        <v>17</v>
      </c>
      <c r="D322">
        <f t="shared" si="40"/>
        <v>35</v>
      </c>
      <c r="E322">
        <f t="shared" si="43"/>
        <v>53</v>
      </c>
      <c r="F322" t="str">
        <f t="shared" si="44"/>
        <v/>
      </c>
      <c r="G322" t="str">
        <f t="shared" si="45"/>
        <v xml:space="preserve">       Fulham FC </v>
      </c>
      <c r="H322" t="str">
        <f t="shared" si="46"/>
        <v xml:space="preserve"> - </v>
      </c>
      <c r="I322" t="str">
        <f t="shared" si="41"/>
        <v/>
      </c>
      <c r="J322" t="str">
        <f t="shared" si="47"/>
        <v>Leicester City FC</v>
      </c>
      <c r="K322" t="str">
        <f t="shared" si="48"/>
        <v>Matchday 22</v>
      </c>
      <c r="L322" t="str">
        <f t="shared" si="49"/>
        <v>[Tue Feb/2]</v>
      </c>
    </row>
    <row r="323" spans="1:12">
      <c r="A323" t="str">
        <f>IF(Sheet1!A326="","",Sheet1!A326)</f>
        <v xml:space="preserve">         Leeds United FC          -  Everton FC</v>
      </c>
      <c r="C323">
        <f t="shared" si="42"/>
        <v>23</v>
      </c>
      <c r="D323">
        <f t="shared" ref="D323:D386" si="50">IFERROR(FIND("-",A323),"")</f>
        <v>35</v>
      </c>
      <c r="E323">
        <f t="shared" si="43"/>
        <v>46</v>
      </c>
      <c r="F323" t="str">
        <f t="shared" si="44"/>
        <v/>
      </c>
      <c r="G323" t="str">
        <f t="shared" si="45"/>
        <v xml:space="preserve">       Leeds United FC </v>
      </c>
      <c r="H323" t="str">
        <f t="shared" si="46"/>
        <v xml:space="preserve"> - </v>
      </c>
      <c r="I323" t="str">
        <f t="shared" ref="I323:I386" si="51">IFERROR(IF(LEFT(H323,1)=" ","",MID(A323,D323+4,3)),"")</f>
        <v/>
      </c>
      <c r="J323" t="str">
        <f t="shared" si="47"/>
        <v>Everton FC</v>
      </c>
      <c r="K323" t="str">
        <f t="shared" si="48"/>
        <v>Matchday 22</v>
      </c>
      <c r="L323" t="str">
        <f t="shared" si="49"/>
        <v>[Tue Feb/2]</v>
      </c>
    </row>
    <row r="324" spans="1:12">
      <c r="A324" t="str">
        <f>IF(Sheet1!A327="","",Sheet1!A327)</f>
        <v xml:space="preserve">         Sheffield United FC      -  West Bromwich Albion FC</v>
      </c>
      <c r="C324">
        <f t="shared" ref="C324:C387" si="52">IFERROR(FIND("FC",SUBSTITUTE(A324,"Manchester United","Manchester United FC")),"")</f>
        <v>27</v>
      </c>
      <c r="D324">
        <f t="shared" si="50"/>
        <v>35</v>
      </c>
      <c r="E324">
        <f t="shared" ref="E324:E387" si="53">IFERROR(FIND("FC",SUBSTITUTE(A324,"Manchester United","Manchester United FC"),D324),"")</f>
        <v>59</v>
      </c>
      <c r="F324" t="str">
        <f t="shared" ref="F324:F387" si="54">IFERROR(IF(VALUE(MID($A324,3,2))&lt;25,MID($A324,3,5),""),"")</f>
        <v/>
      </c>
      <c r="G324" t="str">
        <f t="shared" ref="G324:G387" si="55">IFERROR(IFERROR(IF(VALUE(MID($A324,3,2))&lt;25,MID($A324,10,C324-8),""),MID(A324,3,C324)),"")</f>
        <v xml:space="preserve">       Sheffield United FC </v>
      </c>
      <c r="H324" t="str">
        <f t="shared" ref="H324:H387" si="56">IFERROR(MID(A324,D324-1,3),"")</f>
        <v xml:space="preserve"> - </v>
      </c>
      <c r="I324" t="str">
        <f t="shared" si="51"/>
        <v/>
      </c>
      <c r="J324" t="str">
        <f t="shared" ref="J324:J387" si="57">IFERROR(IFERROR(IF(VALUE(MID($A324,3,2))&lt;25,MID($A324,D324+10,E324-8),""),MID(A324,D324+3,E324)),"")</f>
        <v>West Bromwich Albion FC</v>
      </c>
      <c r="K324" t="str">
        <f t="shared" ref="K324:K387" si="58">IF(LEFT(A322,8)="Matchday",A322,K323)</f>
        <v>Matchday 22</v>
      </c>
      <c r="L324" t="str">
        <f t="shared" ref="L324:L387" si="59">IF(C324="","",IF(LEFT(A323,1)="[",A323,L323))</f>
        <v>[Tue Feb/2]</v>
      </c>
    </row>
    <row r="325" spans="1:12">
      <c r="A325" t="str">
        <f>IF(Sheet1!A328="","",Sheet1!A328)</f>
        <v xml:space="preserve">         Wolverhampton Wanderers FC  -  Arsenal FC</v>
      </c>
      <c r="C325">
        <f t="shared" si="52"/>
        <v>34</v>
      </c>
      <c r="D325">
        <f t="shared" si="50"/>
        <v>38</v>
      </c>
      <c r="E325">
        <f t="shared" si="53"/>
        <v>49</v>
      </c>
      <c r="F325" t="str">
        <f t="shared" si="54"/>
        <v/>
      </c>
      <c r="G325" t="str">
        <f t="shared" si="55"/>
        <v xml:space="preserve">       Wolverhampton Wanderers FC </v>
      </c>
      <c r="H325" t="str">
        <f t="shared" si="56"/>
        <v xml:space="preserve"> - </v>
      </c>
      <c r="I325" t="str">
        <f t="shared" si="51"/>
        <v/>
      </c>
      <c r="J325" t="str">
        <f t="shared" si="57"/>
        <v>Arsenal FC</v>
      </c>
      <c r="K325" t="str">
        <f t="shared" si="58"/>
        <v>Matchday 22</v>
      </c>
      <c r="L325" t="str">
        <f t="shared" si="59"/>
        <v>[Tue Feb/2]</v>
      </c>
    </row>
    <row r="326" spans="1:12">
      <c r="A326" t="str">
        <f>IF(Sheet1!A329="","",Sheet1!A329)</f>
        <v xml:space="preserve">  20.00  Manchester United        -  Southampton FC</v>
      </c>
      <c r="C326">
        <f t="shared" si="52"/>
        <v>28</v>
      </c>
      <c r="D326">
        <f t="shared" si="50"/>
        <v>35</v>
      </c>
      <c r="E326">
        <f t="shared" si="53"/>
        <v>53</v>
      </c>
      <c r="F326" t="str">
        <f t="shared" si="54"/>
        <v>20.00</v>
      </c>
      <c r="G326" t="str">
        <f t="shared" si="55"/>
        <v xml:space="preserve">Manchester United   </v>
      </c>
      <c r="H326" t="str">
        <f t="shared" si="56"/>
        <v xml:space="preserve"> - </v>
      </c>
      <c r="I326" t="str">
        <f t="shared" si="51"/>
        <v/>
      </c>
      <c r="J326" t="str">
        <f t="shared" si="57"/>
        <v>pton FC</v>
      </c>
      <c r="K326" t="str">
        <f t="shared" si="58"/>
        <v>Matchday 22</v>
      </c>
      <c r="L326" t="str">
        <f t="shared" si="59"/>
        <v>[Tue Feb/2]</v>
      </c>
    </row>
    <row r="327" spans="1:12" hidden="1">
      <c r="A327" t="str">
        <f>IF(Sheet1!A330="","",Sheet1!A330)</f>
        <v>[Wed Feb/3]</v>
      </c>
      <c r="C327" t="str">
        <f t="shared" si="52"/>
        <v/>
      </c>
      <c r="D327" t="str">
        <f t="shared" si="50"/>
        <v/>
      </c>
      <c r="E327" t="str">
        <f t="shared" si="53"/>
        <v/>
      </c>
      <c r="F327" t="str">
        <f t="shared" si="54"/>
        <v/>
      </c>
      <c r="G327" t="str">
        <f t="shared" si="55"/>
        <v/>
      </c>
      <c r="H327" t="str">
        <f t="shared" si="56"/>
        <v/>
      </c>
      <c r="I327" t="str">
        <f t="shared" si="51"/>
        <v/>
      </c>
      <c r="J327" t="str">
        <f t="shared" si="57"/>
        <v/>
      </c>
      <c r="K327" t="str">
        <f t="shared" si="58"/>
        <v>Matchday 22</v>
      </c>
      <c r="L327" t="str">
        <f t="shared" si="59"/>
        <v/>
      </c>
    </row>
    <row r="328" spans="1:12">
      <c r="A328" t="str">
        <f>IF(Sheet1!A331="","",Sheet1!A331)</f>
        <v xml:space="preserve">  19.45  Newcastle United FC      -  Crystal Palace FC</v>
      </c>
      <c r="C328">
        <f t="shared" si="52"/>
        <v>27</v>
      </c>
      <c r="D328">
        <f t="shared" si="50"/>
        <v>35</v>
      </c>
      <c r="E328">
        <f t="shared" si="53"/>
        <v>53</v>
      </c>
      <c r="F328" t="str">
        <f t="shared" si="54"/>
        <v>19.45</v>
      </c>
      <c r="G328" t="str">
        <f t="shared" si="55"/>
        <v>Newcastle United FC</v>
      </c>
      <c r="H328" t="str">
        <f t="shared" si="56"/>
        <v xml:space="preserve"> - </v>
      </c>
      <c r="I328" t="str">
        <f t="shared" si="51"/>
        <v/>
      </c>
      <c r="J328" t="str">
        <f t="shared" si="57"/>
        <v xml:space="preserve"> Palace FC</v>
      </c>
      <c r="K328" t="str">
        <f t="shared" si="58"/>
        <v>Matchday 22</v>
      </c>
      <c r="L328" t="str">
        <f t="shared" si="59"/>
        <v>[Wed Feb/3]</v>
      </c>
    </row>
    <row r="329" spans="1:12">
      <c r="A329" t="str">
        <f>IF(Sheet1!A332="","",Sheet1!A332)</f>
        <v xml:space="preserve">         Tottenham Hotspur FC     -  Chelsea FC</v>
      </c>
      <c r="C329">
        <f t="shared" si="52"/>
        <v>28</v>
      </c>
      <c r="D329">
        <f t="shared" si="50"/>
        <v>35</v>
      </c>
      <c r="E329">
        <f t="shared" si="53"/>
        <v>46</v>
      </c>
      <c r="F329" t="str">
        <f t="shared" si="54"/>
        <v/>
      </c>
      <c r="G329" t="str">
        <f t="shared" si="55"/>
        <v xml:space="preserve">       Tottenham Hotspur FC </v>
      </c>
      <c r="H329" t="str">
        <f t="shared" si="56"/>
        <v xml:space="preserve"> - </v>
      </c>
      <c r="I329" t="str">
        <f t="shared" si="51"/>
        <v/>
      </c>
      <c r="J329" t="str">
        <f t="shared" si="57"/>
        <v>Chelsea FC</v>
      </c>
      <c r="K329" t="str">
        <f t="shared" si="58"/>
        <v>Matchday 22</v>
      </c>
      <c r="L329" t="str">
        <f t="shared" si="59"/>
        <v>[Wed Feb/3]</v>
      </c>
    </row>
    <row r="330" spans="1:12">
      <c r="A330" t="str">
        <f>IF(Sheet1!A333="","",Sheet1!A333)</f>
        <v xml:space="preserve">  20.00  Liverpool FC             -  Brighton &amp; Hove Albion FC</v>
      </c>
      <c r="C330">
        <f t="shared" si="52"/>
        <v>20</v>
      </c>
      <c r="D330">
        <f t="shared" si="50"/>
        <v>35</v>
      </c>
      <c r="E330">
        <f t="shared" si="53"/>
        <v>61</v>
      </c>
      <c r="F330" t="str">
        <f t="shared" si="54"/>
        <v>20.00</v>
      </c>
      <c r="G330" t="str">
        <f t="shared" si="55"/>
        <v>Liverpool FC</v>
      </c>
      <c r="H330" t="str">
        <f t="shared" si="56"/>
        <v xml:space="preserve"> - </v>
      </c>
      <c r="I330" t="str">
        <f t="shared" si="51"/>
        <v/>
      </c>
      <c r="J330" t="str">
        <f t="shared" si="57"/>
        <v>n &amp; Hove Albion FC</v>
      </c>
      <c r="K330" t="str">
        <f t="shared" si="58"/>
        <v>Matchday 22</v>
      </c>
      <c r="L330" t="str">
        <f t="shared" si="59"/>
        <v>[Wed Feb/3]</v>
      </c>
    </row>
    <row r="331" spans="1:12" hidden="1">
      <c r="A331" t="str">
        <f>IF(Sheet1!A334="","",Sheet1!A334)</f>
        <v/>
      </c>
      <c r="C331" t="str">
        <f t="shared" si="52"/>
        <v/>
      </c>
      <c r="D331" t="str">
        <f t="shared" si="50"/>
        <v/>
      </c>
      <c r="E331" t="str">
        <f t="shared" si="53"/>
        <v/>
      </c>
      <c r="F331" t="str">
        <f t="shared" si="54"/>
        <v/>
      </c>
      <c r="G331" t="str">
        <f t="shared" si="55"/>
        <v/>
      </c>
      <c r="H331" t="str">
        <f t="shared" si="56"/>
        <v/>
      </c>
      <c r="I331" t="str">
        <f t="shared" si="51"/>
        <v/>
      </c>
      <c r="J331" t="str">
        <f t="shared" si="57"/>
        <v/>
      </c>
      <c r="K331" t="str">
        <f t="shared" si="58"/>
        <v>Matchday 22</v>
      </c>
      <c r="L331" t="str">
        <f t="shared" si="59"/>
        <v/>
      </c>
    </row>
    <row r="332" spans="1:12" hidden="1">
      <c r="A332" t="str">
        <f>IF(Sheet1!A335="","",Sheet1!A335)</f>
        <v/>
      </c>
      <c r="C332" t="str">
        <f t="shared" si="52"/>
        <v/>
      </c>
      <c r="D332" t="str">
        <f t="shared" si="50"/>
        <v/>
      </c>
      <c r="E332" t="str">
        <f t="shared" si="53"/>
        <v/>
      </c>
      <c r="F332" t="str">
        <f t="shared" si="54"/>
        <v/>
      </c>
      <c r="G332" t="str">
        <f t="shared" si="55"/>
        <v/>
      </c>
      <c r="H332" t="str">
        <f t="shared" si="56"/>
        <v/>
      </c>
      <c r="I332" t="str">
        <f t="shared" si="51"/>
        <v/>
      </c>
      <c r="J332" t="str">
        <f t="shared" si="57"/>
        <v/>
      </c>
      <c r="K332" t="str">
        <f t="shared" si="58"/>
        <v>Matchday 22</v>
      </c>
      <c r="L332" t="str">
        <f t="shared" si="59"/>
        <v/>
      </c>
    </row>
    <row r="333" spans="1:12" hidden="1">
      <c r="A333" t="str">
        <f>IF(Sheet1!A336="","",Sheet1!A336)</f>
        <v>Matchday 23</v>
      </c>
      <c r="C333" t="str">
        <f t="shared" si="52"/>
        <v/>
      </c>
      <c r="D333" t="str">
        <f t="shared" si="50"/>
        <v/>
      </c>
      <c r="E333" t="str">
        <f t="shared" si="53"/>
        <v/>
      </c>
      <c r="F333" t="str">
        <f t="shared" si="54"/>
        <v/>
      </c>
      <c r="G333" t="str">
        <f t="shared" si="55"/>
        <v/>
      </c>
      <c r="H333" t="str">
        <f t="shared" si="56"/>
        <v/>
      </c>
      <c r="I333" t="str">
        <f t="shared" si="51"/>
        <v/>
      </c>
      <c r="J333" t="str">
        <f t="shared" si="57"/>
        <v/>
      </c>
      <c r="K333" t="str">
        <f t="shared" si="58"/>
        <v>Matchday 22</v>
      </c>
      <c r="L333" t="str">
        <f t="shared" si="59"/>
        <v/>
      </c>
    </row>
    <row r="334" spans="1:12" hidden="1">
      <c r="A334" t="str">
        <f>IF(Sheet1!A337="","",Sheet1!A337)</f>
        <v>[Sat Feb/6]</v>
      </c>
      <c r="C334" t="str">
        <f t="shared" si="52"/>
        <v/>
      </c>
      <c r="D334" t="str">
        <f t="shared" si="50"/>
        <v/>
      </c>
      <c r="E334" t="str">
        <f t="shared" si="53"/>
        <v/>
      </c>
      <c r="F334" t="str">
        <f t="shared" si="54"/>
        <v/>
      </c>
      <c r="G334" t="str">
        <f t="shared" si="55"/>
        <v/>
      </c>
      <c r="H334" t="str">
        <f t="shared" si="56"/>
        <v/>
      </c>
      <c r="I334" t="str">
        <f t="shared" si="51"/>
        <v/>
      </c>
      <c r="J334" t="str">
        <f t="shared" si="57"/>
        <v/>
      </c>
      <c r="K334" t="str">
        <f t="shared" si="58"/>
        <v>Matchday 22</v>
      </c>
      <c r="L334" t="str">
        <f t="shared" si="59"/>
        <v/>
      </c>
    </row>
    <row r="335" spans="1:12">
      <c r="A335" t="str">
        <f>IF(Sheet1!A338="","",Sheet1!A338)</f>
        <v xml:space="preserve">  Aston Villa FC           -  Arsenal FC</v>
      </c>
      <c r="C335">
        <f t="shared" si="52"/>
        <v>15</v>
      </c>
      <c r="D335">
        <f t="shared" si="50"/>
        <v>28</v>
      </c>
      <c r="E335">
        <f t="shared" si="53"/>
        <v>39</v>
      </c>
      <c r="F335" t="str">
        <f t="shared" si="54"/>
        <v/>
      </c>
      <c r="G335" t="str">
        <f t="shared" si="55"/>
        <v xml:space="preserve">Aston Villa FC </v>
      </c>
      <c r="H335" t="str">
        <f t="shared" si="56"/>
        <v xml:space="preserve"> - </v>
      </c>
      <c r="I335" t="str">
        <f t="shared" si="51"/>
        <v/>
      </c>
      <c r="J335" t="str">
        <f t="shared" si="57"/>
        <v>Arsenal FC</v>
      </c>
      <c r="K335" t="str">
        <f t="shared" si="58"/>
        <v>Matchday 23</v>
      </c>
      <c r="L335" t="str">
        <f t="shared" si="59"/>
        <v>[Sat Feb/6]</v>
      </c>
    </row>
    <row r="336" spans="1:12">
      <c r="A336" t="str">
        <f>IF(Sheet1!A339="","",Sheet1!A339)</f>
        <v xml:space="preserve">  Burnley FC               -  Brighton &amp; Hove Albion FC</v>
      </c>
      <c r="C336">
        <f t="shared" si="52"/>
        <v>11</v>
      </c>
      <c r="D336">
        <f t="shared" si="50"/>
        <v>28</v>
      </c>
      <c r="E336">
        <f t="shared" si="53"/>
        <v>54</v>
      </c>
      <c r="F336" t="str">
        <f t="shared" si="54"/>
        <v/>
      </c>
      <c r="G336" t="str">
        <f t="shared" si="55"/>
        <v xml:space="preserve">Burnley FC </v>
      </c>
      <c r="H336" t="str">
        <f t="shared" si="56"/>
        <v xml:space="preserve"> - </v>
      </c>
      <c r="I336" t="str">
        <f t="shared" si="51"/>
        <v/>
      </c>
      <c r="J336" t="str">
        <f t="shared" si="57"/>
        <v>Brighton &amp; Hove Albion FC</v>
      </c>
      <c r="K336" t="str">
        <f t="shared" si="58"/>
        <v>Matchday 23</v>
      </c>
      <c r="L336" t="str">
        <f t="shared" si="59"/>
        <v>[Sat Feb/6]</v>
      </c>
    </row>
    <row r="337" spans="1:12">
      <c r="A337" t="str">
        <f>IF(Sheet1!A340="","",Sheet1!A340)</f>
        <v xml:space="preserve">  Fulham FC                -  West Ham United FC</v>
      </c>
      <c r="C337">
        <f t="shared" si="52"/>
        <v>10</v>
      </c>
      <c r="D337">
        <f t="shared" si="50"/>
        <v>28</v>
      </c>
      <c r="E337">
        <f t="shared" si="53"/>
        <v>47</v>
      </c>
      <c r="F337" t="str">
        <f t="shared" si="54"/>
        <v/>
      </c>
      <c r="G337" t="str">
        <f t="shared" si="55"/>
        <v xml:space="preserve">Fulham FC </v>
      </c>
      <c r="H337" t="str">
        <f t="shared" si="56"/>
        <v xml:space="preserve"> - </v>
      </c>
      <c r="I337" t="str">
        <f t="shared" si="51"/>
        <v/>
      </c>
      <c r="J337" t="str">
        <f t="shared" si="57"/>
        <v>West Ham United FC</v>
      </c>
      <c r="K337" t="str">
        <f t="shared" si="58"/>
        <v>Matchday 23</v>
      </c>
      <c r="L337" t="str">
        <f t="shared" si="59"/>
        <v>[Sat Feb/6]</v>
      </c>
    </row>
    <row r="338" spans="1:12">
      <c r="A338" t="str">
        <f>IF(Sheet1!A341="","",Sheet1!A341)</f>
        <v xml:space="preserve">  Leeds United FC          -  Crystal Palace FC</v>
      </c>
      <c r="C338">
        <f t="shared" si="52"/>
        <v>16</v>
      </c>
      <c r="D338">
        <f t="shared" si="50"/>
        <v>28</v>
      </c>
      <c r="E338">
        <f t="shared" si="53"/>
        <v>46</v>
      </c>
      <c r="F338" t="str">
        <f t="shared" si="54"/>
        <v/>
      </c>
      <c r="G338" t="str">
        <f t="shared" si="55"/>
        <v xml:space="preserve">Leeds United FC </v>
      </c>
      <c r="H338" t="str">
        <f t="shared" si="56"/>
        <v xml:space="preserve"> - </v>
      </c>
      <c r="I338" t="str">
        <f t="shared" si="51"/>
        <v/>
      </c>
      <c r="J338" t="str">
        <f t="shared" si="57"/>
        <v>Crystal Palace FC</v>
      </c>
      <c r="K338" t="str">
        <f t="shared" si="58"/>
        <v>Matchday 23</v>
      </c>
      <c r="L338" t="str">
        <f t="shared" si="59"/>
        <v>[Sat Feb/6]</v>
      </c>
    </row>
    <row r="339" spans="1:12">
      <c r="A339" t="str">
        <f>IF(Sheet1!A342="","",Sheet1!A342)</f>
        <v xml:space="preserve">  Liverpool FC             -  Manchester City FC</v>
      </c>
      <c r="C339">
        <f t="shared" si="52"/>
        <v>13</v>
      </c>
      <c r="D339">
        <f t="shared" si="50"/>
        <v>28</v>
      </c>
      <c r="E339">
        <f t="shared" si="53"/>
        <v>47</v>
      </c>
      <c r="F339" t="str">
        <f t="shared" si="54"/>
        <v/>
      </c>
      <c r="G339" t="str">
        <f t="shared" si="55"/>
        <v xml:space="preserve">Liverpool FC </v>
      </c>
      <c r="H339" t="str">
        <f t="shared" si="56"/>
        <v xml:space="preserve"> - </v>
      </c>
      <c r="I339" t="str">
        <f t="shared" si="51"/>
        <v/>
      </c>
      <c r="J339" t="str">
        <f t="shared" si="57"/>
        <v>Manchester City FC</v>
      </c>
      <c r="K339" t="str">
        <f t="shared" si="58"/>
        <v>Matchday 23</v>
      </c>
      <c r="L339" t="str">
        <f t="shared" si="59"/>
        <v>[Sat Feb/6]</v>
      </c>
    </row>
    <row r="340" spans="1:12">
      <c r="A340" t="str">
        <f>IF(Sheet1!A343="","",Sheet1!A343)</f>
        <v xml:space="preserve">  Manchester United        -  Everton FC</v>
      </c>
      <c r="C340">
        <f t="shared" si="52"/>
        <v>21</v>
      </c>
      <c r="D340">
        <f t="shared" si="50"/>
        <v>28</v>
      </c>
      <c r="E340">
        <f t="shared" si="53"/>
        <v>42</v>
      </c>
      <c r="F340" t="str">
        <f t="shared" si="54"/>
        <v/>
      </c>
      <c r="G340" t="str">
        <f t="shared" si="55"/>
        <v xml:space="preserve">Manchester United    </v>
      </c>
      <c r="H340" t="str">
        <f t="shared" si="56"/>
        <v xml:space="preserve"> - </v>
      </c>
      <c r="I340" t="str">
        <f t="shared" si="51"/>
        <v/>
      </c>
      <c r="J340" t="str">
        <f t="shared" si="57"/>
        <v>Everton FC</v>
      </c>
      <c r="K340" t="str">
        <f t="shared" si="58"/>
        <v>Matchday 23</v>
      </c>
      <c r="L340" t="str">
        <f t="shared" si="59"/>
        <v>[Sat Feb/6]</v>
      </c>
    </row>
    <row r="341" spans="1:12">
      <c r="A341" t="str">
        <f>IF(Sheet1!A344="","",Sheet1!A344)</f>
        <v xml:space="preserve">  Newcastle United FC      -  Southampton FC</v>
      </c>
      <c r="C341">
        <f t="shared" si="52"/>
        <v>20</v>
      </c>
      <c r="D341">
        <f t="shared" si="50"/>
        <v>28</v>
      </c>
      <c r="E341">
        <f t="shared" si="53"/>
        <v>43</v>
      </c>
      <c r="F341" t="str">
        <f t="shared" si="54"/>
        <v/>
      </c>
      <c r="G341" t="str">
        <f t="shared" si="55"/>
        <v xml:space="preserve">Newcastle United FC </v>
      </c>
      <c r="H341" t="str">
        <f t="shared" si="56"/>
        <v xml:space="preserve"> - </v>
      </c>
      <c r="I341" t="str">
        <f t="shared" si="51"/>
        <v/>
      </c>
      <c r="J341" t="str">
        <f t="shared" si="57"/>
        <v>Southampton FC</v>
      </c>
      <c r="K341" t="str">
        <f t="shared" si="58"/>
        <v>Matchday 23</v>
      </c>
      <c r="L341" t="str">
        <f t="shared" si="59"/>
        <v>[Sat Feb/6]</v>
      </c>
    </row>
    <row r="342" spans="1:12">
      <c r="A342" t="str">
        <f>IF(Sheet1!A345="","",Sheet1!A345)</f>
        <v xml:space="preserve">  Sheffield United FC      -  Chelsea FC</v>
      </c>
      <c r="C342">
        <f t="shared" si="52"/>
        <v>20</v>
      </c>
      <c r="D342">
        <f t="shared" si="50"/>
        <v>28</v>
      </c>
      <c r="E342">
        <f t="shared" si="53"/>
        <v>39</v>
      </c>
      <c r="F342" t="str">
        <f t="shared" si="54"/>
        <v/>
      </c>
      <c r="G342" t="str">
        <f t="shared" si="55"/>
        <v xml:space="preserve">Sheffield United FC </v>
      </c>
      <c r="H342" t="str">
        <f t="shared" si="56"/>
        <v xml:space="preserve"> - </v>
      </c>
      <c r="I342" t="str">
        <f t="shared" si="51"/>
        <v/>
      </c>
      <c r="J342" t="str">
        <f t="shared" si="57"/>
        <v>Chelsea FC</v>
      </c>
      <c r="K342" t="str">
        <f t="shared" si="58"/>
        <v>Matchday 23</v>
      </c>
      <c r="L342" t="str">
        <f t="shared" si="59"/>
        <v>[Sat Feb/6]</v>
      </c>
    </row>
    <row r="343" spans="1:12">
      <c r="A343" t="str">
        <f>IF(Sheet1!A346="","",Sheet1!A346)</f>
        <v xml:space="preserve">  Tottenham Hotspur FC     -  West Bromwich Albion FC</v>
      </c>
      <c r="C343">
        <f t="shared" si="52"/>
        <v>21</v>
      </c>
      <c r="D343">
        <f t="shared" si="50"/>
        <v>28</v>
      </c>
      <c r="E343">
        <f t="shared" si="53"/>
        <v>52</v>
      </c>
      <c r="F343" t="str">
        <f t="shared" si="54"/>
        <v/>
      </c>
      <c r="G343" t="str">
        <f t="shared" si="55"/>
        <v xml:space="preserve">Tottenham Hotspur FC </v>
      </c>
      <c r="H343" t="str">
        <f t="shared" si="56"/>
        <v xml:space="preserve"> - </v>
      </c>
      <c r="I343" t="str">
        <f t="shared" si="51"/>
        <v/>
      </c>
      <c r="J343" t="str">
        <f t="shared" si="57"/>
        <v>West Bromwich Albion FC</v>
      </c>
      <c r="K343" t="str">
        <f t="shared" si="58"/>
        <v>Matchday 23</v>
      </c>
      <c r="L343" t="str">
        <f t="shared" si="59"/>
        <v>[Sat Feb/6]</v>
      </c>
    </row>
    <row r="344" spans="1:12">
      <c r="A344" t="str">
        <f>IF(Sheet1!A347="","",Sheet1!A347)</f>
        <v xml:space="preserve">  Wolverhampton Wanderers FC  -  Leicester City FC</v>
      </c>
      <c r="C344">
        <f t="shared" si="52"/>
        <v>27</v>
      </c>
      <c r="D344">
        <f t="shared" si="50"/>
        <v>31</v>
      </c>
      <c r="E344">
        <f t="shared" si="53"/>
        <v>49</v>
      </c>
      <c r="F344" t="str">
        <f t="shared" si="54"/>
        <v/>
      </c>
      <c r="G344" t="str">
        <f t="shared" si="55"/>
        <v xml:space="preserve">Wolverhampton Wanderers FC </v>
      </c>
      <c r="H344" t="str">
        <f t="shared" si="56"/>
        <v xml:space="preserve"> - </v>
      </c>
      <c r="I344" t="str">
        <f t="shared" si="51"/>
        <v/>
      </c>
      <c r="J344" t="str">
        <f t="shared" si="57"/>
        <v>Leicester City FC</v>
      </c>
      <c r="K344" t="str">
        <f t="shared" si="58"/>
        <v>Matchday 23</v>
      </c>
      <c r="L344" t="str">
        <f t="shared" si="59"/>
        <v>[Sat Feb/6]</v>
      </c>
    </row>
    <row r="345" spans="1:12" hidden="1">
      <c r="A345" t="str">
        <f>IF(Sheet1!A348="","",Sheet1!A348)</f>
        <v/>
      </c>
      <c r="C345" t="str">
        <f t="shared" si="52"/>
        <v/>
      </c>
      <c r="D345" t="str">
        <f t="shared" si="50"/>
        <v/>
      </c>
      <c r="E345" t="str">
        <f t="shared" si="53"/>
        <v/>
      </c>
      <c r="F345" t="str">
        <f t="shared" si="54"/>
        <v/>
      </c>
      <c r="G345" t="str">
        <f t="shared" si="55"/>
        <v/>
      </c>
      <c r="H345" t="str">
        <f t="shared" si="56"/>
        <v/>
      </c>
      <c r="I345" t="str">
        <f t="shared" si="51"/>
        <v/>
      </c>
      <c r="J345" t="str">
        <f t="shared" si="57"/>
        <v/>
      </c>
      <c r="K345" t="str">
        <f t="shared" si="58"/>
        <v>Matchday 23</v>
      </c>
      <c r="L345" t="str">
        <f t="shared" si="59"/>
        <v/>
      </c>
    </row>
    <row r="346" spans="1:12" hidden="1">
      <c r="A346" t="str">
        <f>IF(Sheet1!A349="","",Sheet1!A349)</f>
        <v/>
      </c>
      <c r="C346" t="str">
        <f t="shared" si="52"/>
        <v/>
      </c>
      <c r="D346" t="str">
        <f t="shared" si="50"/>
        <v/>
      </c>
      <c r="E346" t="str">
        <f t="shared" si="53"/>
        <v/>
      </c>
      <c r="F346" t="str">
        <f t="shared" si="54"/>
        <v/>
      </c>
      <c r="G346" t="str">
        <f t="shared" si="55"/>
        <v/>
      </c>
      <c r="H346" t="str">
        <f t="shared" si="56"/>
        <v/>
      </c>
      <c r="I346" t="str">
        <f t="shared" si="51"/>
        <v/>
      </c>
      <c r="J346" t="str">
        <f t="shared" si="57"/>
        <v/>
      </c>
      <c r="K346" t="str">
        <f t="shared" si="58"/>
        <v>Matchday 23</v>
      </c>
      <c r="L346" t="str">
        <f t="shared" si="59"/>
        <v/>
      </c>
    </row>
    <row r="347" spans="1:12" hidden="1">
      <c r="A347" t="str">
        <f>IF(Sheet1!A350="","",Sheet1!A350)</f>
        <v>Matchday 24</v>
      </c>
      <c r="C347" t="str">
        <f t="shared" si="52"/>
        <v/>
      </c>
      <c r="D347" t="str">
        <f t="shared" si="50"/>
        <v/>
      </c>
      <c r="E347" t="str">
        <f t="shared" si="53"/>
        <v/>
      </c>
      <c r="F347" t="str">
        <f t="shared" si="54"/>
        <v/>
      </c>
      <c r="G347" t="str">
        <f t="shared" si="55"/>
        <v/>
      </c>
      <c r="H347" t="str">
        <f t="shared" si="56"/>
        <v/>
      </c>
      <c r="I347" t="str">
        <f t="shared" si="51"/>
        <v/>
      </c>
      <c r="J347" t="str">
        <f t="shared" si="57"/>
        <v/>
      </c>
      <c r="K347" t="str">
        <f t="shared" si="58"/>
        <v>Matchday 23</v>
      </c>
      <c r="L347" t="str">
        <f t="shared" si="59"/>
        <v/>
      </c>
    </row>
    <row r="348" spans="1:12" hidden="1">
      <c r="A348" t="str">
        <f>IF(Sheet1!A351="","",Sheet1!A351)</f>
        <v>[Sat Feb/13]</v>
      </c>
      <c r="C348" t="str">
        <f t="shared" si="52"/>
        <v/>
      </c>
      <c r="D348" t="str">
        <f t="shared" si="50"/>
        <v/>
      </c>
      <c r="E348" t="str">
        <f t="shared" si="53"/>
        <v/>
      </c>
      <c r="F348" t="str">
        <f t="shared" si="54"/>
        <v/>
      </c>
      <c r="G348" t="str">
        <f t="shared" si="55"/>
        <v/>
      </c>
      <c r="H348" t="str">
        <f t="shared" si="56"/>
        <v/>
      </c>
      <c r="I348" t="str">
        <f t="shared" si="51"/>
        <v/>
      </c>
      <c r="J348" t="str">
        <f t="shared" si="57"/>
        <v/>
      </c>
      <c r="K348" t="str">
        <f t="shared" si="58"/>
        <v>Matchday 23</v>
      </c>
      <c r="L348" t="str">
        <f t="shared" si="59"/>
        <v/>
      </c>
    </row>
    <row r="349" spans="1:12">
      <c r="A349" t="str">
        <f>IF(Sheet1!A352="","",Sheet1!A352)</f>
        <v xml:space="preserve">  Arsenal FC               -  Leeds United FC</v>
      </c>
      <c r="C349">
        <f t="shared" si="52"/>
        <v>11</v>
      </c>
      <c r="D349">
        <f t="shared" si="50"/>
        <v>28</v>
      </c>
      <c r="E349">
        <f t="shared" si="53"/>
        <v>44</v>
      </c>
      <c r="F349" t="str">
        <f t="shared" si="54"/>
        <v/>
      </c>
      <c r="G349" t="str">
        <f t="shared" si="55"/>
        <v xml:space="preserve">Arsenal FC </v>
      </c>
      <c r="H349" t="str">
        <f t="shared" si="56"/>
        <v xml:space="preserve"> - </v>
      </c>
      <c r="I349" t="str">
        <f t="shared" si="51"/>
        <v/>
      </c>
      <c r="J349" t="str">
        <f t="shared" si="57"/>
        <v>Leeds United FC</v>
      </c>
      <c r="K349" t="str">
        <f t="shared" si="58"/>
        <v>Matchday 24</v>
      </c>
      <c r="L349" t="str">
        <f t="shared" si="59"/>
        <v>[Sat Feb/13]</v>
      </c>
    </row>
    <row r="350" spans="1:12">
      <c r="A350" t="str">
        <f>IF(Sheet1!A353="","",Sheet1!A353)</f>
        <v xml:space="preserve">  Brighton &amp; Hove Albion FC  -  Aston Villa FC</v>
      </c>
      <c r="C350">
        <f t="shared" si="52"/>
        <v>26</v>
      </c>
      <c r="D350">
        <f t="shared" si="50"/>
        <v>30</v>
      </c>
      <c r="E350">
        <f t="shared" si="53"/>
        <v>45</v>
      </c>
      <c r="F350" t="str">
        <f t="shared" si="54"/>
        <v/>
      </c>
      <c r="G350" t="str">
        <f t="shared" si="55"/>
        <v xml:space="preserve">Brighton &amp; Hove Albion FC </v>
      </c>
      <c r="H350" t="str">
        <f t="shared" si="56"/>
        <v xml:space="preserve"> - </v>
      </c>
      <c r="I350" t="str">
        <f t="shared" si="51"/>
        <v/>
      </c>
      <c r="J350" t="str">
        <f t="shared" si="57"/>
        <v>Aston Villa FC</v>
      </c>
      <c r="K350" t="str">
        <f t="shared" si="58"/>
        <v>Matchday 24</v>
      </c>
      <c r="L350" t="str">
        <f t="shared" si="59"/>
        <v>[Sat Feb/13]</v>
      </c>
    </row>
    <row r="351" spans="1:12">
      <c r="A351" t="str">
        <f>IF(Sheet1!A354="","",Sheet1!A354)</f>
        <v xml:space="preserve">  Chelsea FC               -  Newcastle United FC</v>
      </c>
      <c r="C351">
        <f t="shared" si="52"/>
        <v>11</v>
      </c>
      <c r="D351">
        <f t="shared" si="50"/>
        <v>28</v>
      </c>
      <c r="E351">
        <f t="shared" si="53"/>
        <v>48</v>
      </c>
      <c r="F351" t="str">
        <f t="shared" si="54"/>
        <v/>
      </c>
      <c r="G351" t="str">
        <f t="shared" si="55"/>
        <v xml:space="preserve">Chelsea FC </v>
      </c>
      <c r="H351" t="str">
        <f t="shared" si="56"/>
        <v xml:space="preserve"> - </v>
      </c>
      <c r="I351" t="str">
        <f t="shared" si="51"/>
        <v/>
      </c>
      <c r="J351" t="str">
        <f t="shared" si="57"/>
        <v>Newcastle United FC</v>
      </c>
      <c r="K351" t="str">
        <f t="shared" si="58"/>
        <v>Matchday 24</v>
      </c>
      <c r="L351" t="str">
        <f t="shared" si="59"/>
        <v>[Sat Feb/13]</v>
      </c>
    </row>
    <row r="352" spans="1:12">
      <c r="A352" t="str">
        <f>IF(Sheet1!A355="","",Sheet1!A355)</f>
        <v xml:space="preserve">  Crystal Palace FC        -  Burnley FC</v>
      </c>
      <c r="C352">
        <f t="shared" si="52"/>
        <v>18</v>
      </c>
      <c r="D352">
        <f t="shared" si="50"/>
        <v>28</v>
      </c>
      <c r="E352">
        <f t="shared" si="53"/>
        <v>39</v>
      </c>
      <c r="F352" t="str">
        <f t="shared" si="54"/>
        <v/>
      </c>
      <c r="G352" t="str">
        <f t="shared" si="55"/>
        <v xml:space="preserve">Crystal Palace FC </v>
      </c>
      <c r="H352" t="str">
        <f t="shared" si="56"/>
        <v xml:space="preserve"> - </v>
      </c>
      <c r="I352" t="str">
        <f t="shared" si="51"/>
        <v/>
      </c>
      <c r="J352" t="str">
        <f t="shared" si="57"/>
        <v>Burnley FC</v>
      </c>
      <c r="K352" t="str">
        <f t="shared" si="58"/>
        <v>Matchday 24</v>
      </c>
      <c r="L352" t="str">
        <f t="shared" si="59"/>
        <v>[Sat Feb/13]</v>
      </c>
    </row>
    <row r="353" spans="1:12">
      <c r="A353" t="str">
        <f>IF(Sheet1!A356="","",Sheet1!A356)</f>
        <v xml:space="preserve">  Everton FC               -  Fulham FC</v>
      </c>
      <c r="C353">
        <f t="shared" si="52"/>
        <v>11</v>
      </c>
      <c r="D353">
        <f t="shared" si="50"/>
        <v>28</v>
      </c>
      <c r="E353">
        <f t="shared" si="53"/>
        <v>38</v>
      </c>
      <c r="F353" t="str">
        <f t="shared" si="54"/>
        <v/>
      </c>
      <c r="G353" t="str">
        <f t="shared" si="55"/>
        <v xml:space="preserve">Everton FC </v>
      </c>
      <c r="H353" t="str">
        <f t="shared" si="56"/>
        <v xml:space="preserve"> - </v>
      </c>
      <c r="I353" t="str">
        <f t="shared" si="51"/>
        <v/>
      </c>
      <c r="J353" t="str">
        <f t="shared" si="57"/>
        <v>Fulham FC</v>
      </c>
      <c r="K353" t="str">
        <f t="shared" si="58"/>
        <v>Matchday 24</v>
      </c>
      <c r="L353" t="str">
        <f t="shared" si="59"/>
        <v>[Sat Feb/13]</v>
      </c>
    </row>
    <row r="354" spans="1:12">
      <c r="A354" t="str">
        <f>IF(Sheet1!A357="","",Sheet1!A357)</f>
        <v xml:space="preserve">  Leicester City FC        -  Liverpool FC</v>
      </c>
      <c r="C354">
        <f t="shared" si="52"/>
        <v>18</v>
      </c>
      <c r="D354">
        <f t="shared" si="50"/>
        <v>28</v>
      </c>
      <c r="E354">
        <f t="shared" si="53"/>
        <v>41</v>
      </c>
      <c r="F354" t="str">
        <f t="shared" si="54"/>
        <v/>
      </c>
      <c r="G354" t="str">
        <f t="shared" si="55"/>
        <v xml:space="preserve">Leicester City FC </v>
      </c>
      <c r="H354" t="str">
        <f t="shared" si="56"/>
        <v xml:space="preserve"> - </v>
      </c>
      <c r="I354" t="str">
        <f t="shared" si="51"/>
        <v/>
      </c>
      <c r="J354" t="str">
        <f t="shared" si="57"/>
        <v>Liverpool FC</v>
      </c>
      <c r="K354" t="str">
        <f t="shared" si="58"/>
        <v>Matchday 24</v>
      </c>
      <c r="L354" t="str">
        <f t="shared" si="59"/>
        <v>[Sat Feb/13]</v>
      </c>
    </row>
    <row r="355" spans="1:12">
      <c r="A355" t="str">
        <f>IF(Sheet1!A358="","",Sheet1!A358)</f>
        <v xml:space="preserve">  Manchester City FC       -  Tottenham Hotspur FC</v>
      </c>
      <c r="C355">
        <f t="shared" si="52"/>
        <v>19</v>
      </c>
      <c r="D355">
        <f t="shared" si="50"/>
        <v>28</v>
      </c>
      <c r="E355">
        <f t="shared" si="53"/>
        <v>49</v>
      </c>
      <c r="F355" t="str">
        <f t="shared" si="54"/>
        <v/>
      </c>
      <c r="G355" t="str">
        <f t="shared" si="55"/>
        <v xml:space="preserve">Manchester City FC </v>
      </c>
      <c r="H355" t="str">
        <f t="shared" si="56"/>
        <v xml:space="preserve"> - </v>
      </c>
      <c r="I355" t="str">
        <f t="shared" si="51"/>
        <v/>
      </c>
      <c r="J355" t="str">
        <f t="shared" si="57"/>
        <v>Tottenham Hotspur FC</v>
      </c>
      <c r="K355" t="str">
        <f t="shared" si="58"/>
        <v>Matchday 24</v>
      </c>
      <c r="L355" t="str">
        <f t="shared" si="59"/>
        <v>[Sat Feb/13]</v>
      </c>
    </row>
    <row r="356" spans="1:12">
      <c r="A356" t="str">
        <f>IF(Sheet1!A359="","",Sheet1!A359)</f>
        <v xml:space="preserve">  Southampton FC           -  Wolverhampton Wanderers FC</v>
      </c>
      <c r="C356">
        <f t="shared" si="52"/>
        <v>15</v>
      </c>
      <c r="D356">
        <f t="shared" si="50"/>
        <v>28</v>
      </c>
      <c r="E356">
        <f t="shared" si="53"/>
        <v>55</v>
      </c>
      <c r="F356" t="str">
        <f t="shared" si="54"/>
        <v/>
      </c>
      <c r="G356" t="str">
        <f t="shared" si="55"/>
        <v xml:space="preserve">Southampton FC </v>
      </c>
      <c r="H356" t="str">
        <f t="shared" si="56"/>
        <v xml:space="preserve"> - </v>
      </c>
      <c r="I356" t="str">
        <f t="shared" si="51"/>
        <v/>
      </c>
      <c r="J356" t="str">
        <f t="shared" si="57"/>
        <v>Wolverhampton Wanderers FC</v>
      </c>
      <c r="K356" t="str">
        <f t="shared" si="58"/>
        <v>Matchday 24</v>
      </c>
      <c r="L356" t="str">
        <f t="shared" si="59"/>
        <v>[Sat Feb/13]</v>
      </c>
    </row>
    <row r="357" spans="1:12">
      <c r="A357" t="str">
        <f>IF(Sheet1!A360="","",Sheet1!A360)</f>
        <v xml:space="preserve">  West Bromwich Albion FC  -  Manchester United</v>
      </c>
      <c r="C357">
        <f t="shared" si="52"/>
        <v>24</v>
      </c>
      <c r="D357">
        <f t="shared" si="50"/>
        <v>28</v>
      </c>
      <c r="E357">
        <f t="shared" si="53"/>
        <v>49</v>
      </c>
      <c r="F357" t="str">
        <f t="shared" si="54"/>
        <v/>
      </c>
      <c r="G357" t="str">
        <f t="shared" si="55"/>
        <v xml:space="preserve">West Bromwich Albion FC </v>
      </c>
      <c r="H357" t="str">
        <f t="shared" si="56"/>
        <v xml:space="preserve"> - </v>
      </c>
      <c r="I357" t="str">
        <f t="shared" si="51"/>
        <v/>
      </c>
      <c r="J357" t="str">
        <f t="shared" si="57"/>
        <v>Manchester United</v>
      </c>
      <c r="K357" t="str">
        <f t="shared" si="58"/>
        <v>Matchday 24</v>
      </c>
      <c r="L357" t="str">
        <f t="shared" si="59"/>
        <v>[Sat Feb/13]</v>
      </c>
    </row>
    <row r="358" spans="1:12">
      <c r="A358" t="str">
        <f>IF(Sheet1!A361="","",Sheet1!A361)</f>
        <v xml:space="preserve">  West Ham United FC       -  Sheffield United FC</v>
      </c>
      <c r="C358">
        <f t="shared" si="52"/>
        <v>19</v>
      </c>
      <c r="D358">
        <f t="shared" si="50"/>
        <v>28</v>
      </c>
      <c r="E358">
        <f t="shared" si="53"/>
        <v>48</v>
      </c>
      <c r="F358" t="str">
        <f t="shared" si="54"/>
        <v/>
      </c>
      <c r="G358" t="str">
        <f t="shared" si="55"/>
        <v xml:space="preserve">West Ham United FC </v>
      </c>
      <c r="H358" t="str">
        <f t="shared" si="56"/>
        <v xml:space="preserve"> - </v>
      </c>
      <c r="I358" t="str">
        <f t="shared" si="51"/>
        <v/>
      </c>
      <c r="J358" t="str">
        <f t="shared" si="57"/>
        <v>Sheffield United FC</v>
      </c>
      <c r="K358" t="str">
        <f t="shared" si="58"/>
        <v>Matchday 24</v>
      </c>
      <c r="L358" t="str">
        <f t="shared" si="59"/>
        <v>[Sat Feb/13]</v>
      </c>
    </row>
    <row r="359" spans="1:12" hidden="1">
      <c r="A359" t="str">
        <f>IF(Sheet1!A362="","",Sheet1!A362)</f>
        <v/>
      </c>
      <c r="C359" t="str">
        <f t="shared" si="52"/>
        <v/>
      </c>
      <c r="D359" t="str">
        <f t="shared" si="50"/>
        <v/>
      </c>
      <c r="E359" t="str">
        <f t="shared" si="53"/>
        <v/>
      </c>
      <c r="F359" t="str">
        <f t="shared" si="54"/>
        <v/>
      </c>
      <c r="G359" t="str">
        <f t="shared" si="55"/>
        <v/>
      </c>
      <c r="H359" t="str">
        <f t="shared" si="56"/>
        <v/>
      </c>
      <c r="I359" t="str">
        <f t="shared" si="51"/>
        <v/>
      </c>
      <c r="J359" t="str">
        <f t="shared" si="57"/>
        <v/>
      </c>
      <c r="K359" t="str">
        <f t="shared" si="58"/>
        <v>Matchday 24</v>
      </c>
      <c r="L359" t="str">
        <f t="shared" si="59"/>
        <v/>
      </c>
    </row>
    <row r="360" spans="1:12" hidden="1">
      <c r="A360" t="str">
        <f>IF(Sheet1!A363="","",Sheet1!A363)</f>
        <v/>
      </c>
      <c r="C360" t="str">
        <f t="shared" si="52"/>
        <v/>
      </c>
      <c r="D360" t="str">
        <f t="shared" si="50"/>
        <v/>
      </c>
      <c r="E360" t="str">
        <f t="shared" si="53"/>
        <v/>
      </c>
      <c r="F360" t="str">
        <f t="shared" si="54"/>
        <v/>
      </c>
      <c r="G360" t="str">
        <f t="shared" si="55"/>
        <v/>
      </c>
      <c r="H360" t="str">
        <f t="shared" si="56"/>
        <v/>
      </c>
      <c r="I360" t="str">
        <f t="shared" si="51"/>
        <v/>
      </c>
      <c r="J360" t="str">
        <f t="shared" si="57"/>
        <v/>
      </c>
      <c r="K360" t="str">
        <f t="shared" si="58"/>
        <v>Matchday 24</v>
      </c>
      <c r="L360" t="str">
        <f t="shared" si="59"/>
        <v/>
      </c>
    </row>
    <row r="361" spans="1:12" hidden="1">
      <c r="A361" t="str">
        <f>IF(Sheet1!A364="","",Sheet1!A364)</f>
        <v>Matchday 25</v>
      </c>
      <c r="C361" t="str">
        <f t="shared" si="52"/>
        <v/>
      </c>
      <c r="D361" t="str">
        <f t="shared" si="50"/>
        <v/>
      </c>
      <c r="E361" t="str">
        <f t="shared" si="53"/>
        <v/>
      </c>
      <c r="F361" t="str">
        <f t="shared" si="54"/>
        <v/>
      </c>
      <c r="G361" t="str">
        <f t="shared" si="55"/>
        <v/>
      </c>
      <c r="H361" t="str">
        <f t="shared" si="56"/>
        <v/>
      </c>
      <c r="I361" t="str">
        <f t="shared" si="51"/>
        <v/>
      </c>
      <c r="J361" t="str">
        <f t="shared" si="57"/>
        <v/>
      </c>
      <c r="K361" t="str">
        <f t="shared" si="58"/>
        <v>Matchday 24</v>
      </c>
      <c r="L361" t="str">
        <f t="shared" si="59"/>
        <v/>
      </c>
    </row>
    <row r="362" spans="1:12" hidden="1">
      <c r="A362" t="str">
        <f>IF(Sheet1!A365="","",Sheet1!A365)</f>
        <v>[Sat Feb/20]</v>
      </c>
      <c r="C362" t="str">
        <f t="shared" si="52"/>
        <v/>
      </c>
      <c r="D362" t="str">
        <f t="shared" si="50"/>
        <v/>
      </c>
      <c r="E362" t="str">
        <f t="shared" si="53"/>
        <v/>
      </c>
      <c r="F362" t="str">
        <f t="shared" si="54"/>
        <v/>
      </c>
      <c r="G362" t="str">
        <f t="shared" si="55"/>
        <v/>
      </c>
      <c r="H362" t="str">
        <f t="shared" si="56"/>
        <v/>
      </c>
      <c r="I362" t="str">
        <f t="shared" si="51"/>
        <v/>
      </c>
      <c r="J362" t="str">
        <f t="shared" si="57"/>
        <v/>
      </c>
      <c r="K362" t="str">
        <f t="shared" si="58"/>
        <v>Matchday 24</v>
      </c>
      <c r="L362" t="str">
        <f t="shared" si="59"/>
        <v/>
      </c>
    </row>
    <row r="363" spans="1:12">
      <c r="A363" t="str">
        <f>IF(Sheet1!A366="","",Sheet1!A366)</f>
        <v xml:space="preserve">  Arsenal FC               -  Manchester City FC</v>
      </c>
      <c r="C363">
        <f t="shared" si="52"/>
        <v>11</v>
      </c>
      <c r="D363">
        <f t="shared" si="50"/>
        <v>28</v>
      </c>
      <c r="E363">
        <f t="shared" si="53"/>
        <v>47</v>
      </c>
      <c r="F363" t="str">
        <f t="shared" si="54"/>
        <v/>
      </c>
      <c r="G363" t="str">
        <f t="shared" si="55"/>
        <v xml:space="preserve">Arsenal FC </v>
      </c>
      <c r="H363" t="str">
        <f t="shared" si="56"/>
        <v xml:space="preserve"> - </v>
      </c>
      <c r="I363" t="str">
        <f t="shared" si="51"/>
        <v/>
      </c>
      <c r="J363" t="str">
        <f t="shared" si="57"/>
        <v>Manchester City FC</v>
      </c>
      <c r="K363" t="str">
        <f t="shared" si="58"/>
        <v>Matchday 25</v>
      </c>
      <c r="L363" t="str">
        <f t="shared" si="59"/>
        <v>[Sat Feb/20]</v>
      </c>
    </row>
    <row r="364" spans="1:12">
      <c r="A364" t="str">
        <f>IF(Sheet1!A367="","",Sheet1!A367)</f>
        <v xml:space="preserve">  Aston Villa FC           -  Leicester City FC</v>
      </c>
      <c r="C364">
        <f t="shared" si="52"/>
        <v>15</v>
      </c>
      <c r="D364">
        <f t="shared" si="50"/>
        <v>28</v>
      </c>
      <c r="E364">
        <f t="shared" si="53"/>
        <v>46</v>
      </c>
      <c r="F364" t="str">
        <f t="shared" si="54"/>
        <v/>
      </c>
      <c r="G364" t="str">
        <f t="shared" si="55"/>
        <v xml:space="preserve">Aston Villa FC </v>
      </c>
      <c r="H364" t="str">
        <f t="shared" si="56"/>
        <v xml:space="preserve"> - </v>
      </c>
      <c r="I364" t="str">
        <f t="shared" si="51"/>
        <v/>
      </c>
      <c r="J364" t="str">
        <f t="shared" si="57"/>
        <v>Leicester City FC</v>
      </c>
      <c r="K364" t="str">
        <f t="shared" si="58"/>
        <v>Matchday 25</v>
      </c>
      <c r="L364" t="str">
        <f t="shared" si="59"/>
        <v>[Sat Feb/20]</v>
      </c>
    </row>
    <row r="365" spans="1:12">
      <c r="A365" t="str">
        <f>IF(Sheet1!A368="","",Sheet1!A368)</f>
        <v xml:space="preserve">  Brighton &amp; Hove Albion FC  -  Crystal Palace FC</v>
      </c>
      <c r="C365">
        <f t="shared" si="52"/>
        <v>26</v>
      </c>
      <c r="D365">
        <f t="shared" si="50"/>
        <v>30</v>
      </c>
      <c r="E365">
        <f t="shared" si="53"/>
        <v>48</v>
      </c>
      <c r="F365" t="str">
        <f t="shared" si="54"/>
        <v/>
      </c>
      <c r="G365" t="str">
        <f t="shared" si="55"/>
        <v xml:space="preserve">Brighton &amp; Hove Albion FC </v>
      </c>
      <c r="H365" t="str">
        <f t="shared" si="56"/>
        <v xml:space="preserve"> - </v>
      </c>
      <c r="I365" t="str">
        <f t="shared" si="51"/>
        <v/>
      </c>
      <c r="J365" t="str">
        <f t="shared" si="57"/>
        <v>Crystal Palace FC</v>
      </c>
      <c r="K365" t="str">
        <f t="shared" si="58"/>
        <v>Matchday 25</v>
      </c>
      <c r="L365" t="str">
        <f t="shared" si="59"/>
        <v>[Sat Feb/20]</v>
      </c>
    </row>
    <row r="366" spans="1:12">
      <c r="A366" t="str">
        <f>IF(Sheet1!A369="","",Sheet1!A369)</f>
        <v xml:space="preserve">  Burnley FC               -  West Bromwich Albion FC</v>
      </c>
      <c r="C366">
        <f t="shared" si="52"/>
        <v>11</v>
      </c>
      <c r="D366">
        <f t="shared" si="50"/>
        <v>28</v>
      </c>
      <c r="E366">
        <f t="shared" si="53"/>
        <v>52</v>
      </c>
      <c r="F366" t="str">
        <f t="shared" si="54"/>
        <v/>
      </c>
      <c r="G366" t="str">
        <f t="shared" si="55"/>
        <v xml:space="preserve">Burnley FC </v>
      </c>
      <c r="H366" t="str">
        <f t="shared" si="56"/>
        <v xml:space="preserve"> - </v>
      </c>
      <c r="I366" t="str">
        <f t="shared" si="51"/>
        <v/>
      </c>
      <c r="J366" t="str">
        <f t="shared" si="57"/>
        <v>West Bromwich Albion FC</v>
      </c>
      <c r="K366" t="str">
        <f t="shared" si="58"/>
        <v>Matchday 25</v>
      </c>
      <c r="L366" t="str">
        <f t="shared" si="59"/>
        <v>[Sat Feb/20]</v>
      </c>
    </row>
    <row r="367" spans="1:12">
      <c r="A367" t="str">
        <f>IF(Sheet1!A370="","",Sheet1!A370)</f>
        <v xml:space="preserve">  Fulham FC                -  Sheffield United FC</v>
      </c>
      <c r="C367">
        <f t="shared" si="52"/>
        <v>10</v>
      </c>
      <c r="D367">
        <f t="shared" si="50"/>
        <v>28</v>
      </c>
      <c r="E367">
        <f t="shared" si="53"/>
        <v>48</v>
      </c>
      <c r="F367" t="str">
        <f t="shared" si="54"/>
        <v/>
      </c>
      <c r="G367" t="str">
        <f t="shared" si="55"/>
        <v xml:space="preserve">Fulham FC </v>
      </c>
      <c r="H367" t="str">
        <f t="shared" si="56"/>
        <v xml:space="preserve"> - </v>
      </c>
      <c r="I367" t="str">
        <f t="shared" si="51"/>
        <v/>
      </c>
      <c r="J367" t="str">
        <f t="shared" si="57"/>
        <v>Sheffield United FC</v>
      </c>
      <c r="K367" t="str">
        <f t="shared" si="58"/>
        <v>Matchday 25</v>
      </c>
      <c r="L367" t="str">
        <f t="shared" si="59"/>
        <v>[Sat Feb/20]</v>
      </c>
    </row>
    <row r="368" spans="1:12">
      <c r="A368" t="str">
        <f>IF(Sheet1!A371="","",Sheet1!A371)</f>
        <v xml:space="preserve">  Liverpool FC             -  Everton FC</v>
      </c>
      <c r="C368">
        <f t="shared" si="52"/>
        <v>13</v>
      </c>
      <c r="D368">
        <f t="shared" si="50"/>
        <v>28</v>
      </c>
      <c r="E368">
        <f t="shared" si="53"/>
        <v>39</v>
      </c>
      <c r="F368" t="str">
        <f t="shared" si="54"/>
        <v/>
      </c>
      <c r="G368" t="str">
        <f t="shared" si="55"/>
        <v xml:space="preserve">Liverpool FC </v>
      </c>
      <c r="H368" t="str">
        <f t="shared" si="56"/>
        <v xml:space="preserve"> - </v>
      </c>
      <c r="I368" t="str">
        <f t="shared" si="51"/>
        <v/>
      </c>
      <c r="J368" t="str">
        <f t="shared" si="57"/>
        <v>Everton FC</v>
      </c>
      <c r="K368" t="str">
        <f t="shared" si="58"/>
        <v>Matchday 25</v>
      </c>
      <c r="L368" t="str">
        <f t="shared" si="59"/>
        <v>[Sat Feb/20]</v>
      </c>
    </row>
    <row r="369" spans="1:12">
      <c r="A369" t="str">
        <f>IF(Sheet1!A372="","",Sheet1!A372)</f>
        <v xml:space="preserve">  Manchester United        -  Newcastle United FC</v>
      </c>
      <c r="C369">
        <f t="shared" si="52"/>
        <v>21</v>
      </c>
      <c r="D369">
        <f t="shared" si="50"/>
        <v>28</v>
      </c>
      <c r="E369">
        <f t="shared" si="53"/>
        <v>51</v>
      </c>
      <c r="F369" t="str">
        <f t="shared" si="54"/>
        <v/>
      </c>
      <c r="G369" t="str">
        <f t="shared" si="55"/>
        <v xml:space="preserve">Manchester United    </v>
      </c>
      <c r="H369" t="str">
        <f t="shared" si="56"/>
        <v xml:space="preserve"> - </v>
      </c>
      <c r="I369" t="str">
        <f t="shared" si="51"/>
        <v/>
      </c>
      <c r="J369" t="str">
        <f t="shared" si="57"/>
        <v>Newcastle United FC</v>
      </c>
      <c r="K369" t="str">
        <f t="shared" si="58"/>
        <v>Matchday 25</v>
      </c>
      <c r="L369" t="str">
        <f t="shared" si="59"/>
        <v>[Sat Feb/20]</v>
      </c>
    </row>
    <row r="370" spans="1:12">
      <c r="A370" t="str">
        <f>IF(Sheet1!A373="","",Sheet1!A373)</f>
        <v xml:space="preserve">  Southampton FC           -  Chelsea FC</v>
      </c>
      <c r="C370">
        <f t="shared" si="52"/>
        <v>15</v>
      </c>
      <c r="D370">
        <f t="shared" si="50"/>
        <v>28</v>
      </c>
      <c r="E370">
        <f t="shared" si="53"/>
        <v>39</v>
      </c>
      <c r="F370" t="str">
        <f t="shared" si="54"/>
        <v/>
      </c>
      <c r="G370" t="str">
        <f t="shared" si="55"/>
        <v xml:space="preserve">Southampton FC </v>
      </c>
      <c r="H370" t="str">
        <f t="shared" si="56"/>
        <v xml:space="preserve"> - </v>
      </c>
      <c r="I370" t="str">
        <f t="shared" si="51"/>
        <v/>
      </c>
      <c r="J370" t="str">
        <f t="shared" si="57"/>
        <v>Chelsea FC</v>
      </c>
      <c r="K370" t="str">
        <f t="shared" si="58"/>
        <v>Matchday 25</v>
      </c>
      <c r="L370" t="str">
        <f t="shared" si="59"/>
        <v>[Sat Feb/20]</v>
      </c>
    </row>
    <row r="371" spans="1:12">
      <c r="A371" t="str">
        <f>IF(Sheet1!A374="","",Sheet1!A374)</f>
        <v xml:space="preserve">  West Ham United FC       -  Tottenham Hotspur FC</v>
      </c>
      <c r="C371">
        <f t="shared" si="52"/>
        <v>19</v>
      </c>
      <c r="D371">
        <f t="shared" si="50"/>
        <v>28</v>
      </c>
      <c r="E371">
        <f t="shared" si="53"/>
        <v>49</v>
      </c>
      <c r="F371" t="str">
        <f t="shared" si="54"/>
        <v/>
      </c>
      <c r="G371" t="str">
        <f t="shared" si="55"/>
        <v xml:space="preserve">West Ham United FC </v>
      </c>
      <c r="H371" t="str">
        <f t="shared" si="56"/>
        <v xml:space="preserve"> - </v>
      </c>
      <c r="I371" t="str">
        <f t="shared" si="51"/>
        <v/>
      </c>
      <c r="J371" t="str">
        <f t="shared" si="57"/>
        <v>Tottenham Hotspur FC</v>
      </c>
      <c r="K371" t="str">
        <f t="shared" si="58"/>
        <v>Matchday 25</v>
      </c>
      <c r="L371" t="str">
        <f t="shared" si="59"/>
        <v>[Sat Feb/20]</v>
      </c>
    </row>
    <row r="372" spans="1:12">
      <c r="A372" t="str">
        <f>IF(Sheet1!A375="","",Sheet1!A375)</f>
        <v xml:space="preserve">  Wolverhampton Wanderers FC  -  Leeds United FC</v>
      </c>
      <c r="C372">
        <f t="shared" si="52"/>
        <v>27</v>
      </c>
      <c r="D372">
        <f t="shared" si="50"/>
        <v>31</v>
      </c>
      <c r="E372">
        <f t="shared" si="53"/>
        <v>47</v>
      </c>
      <c r="F372" t="str">
        <f t="shared" si="54"/>
        <v/>
      </c>
      <c r="G372" t="str">
        <f t="shared" si="55"/>
        <v xml:space="preserve">Wolverhampton Wanderers FC </v>
      </c>
      <c r="H372" t="str">
        <f t="shared" si="56"/>
        <v xml:space="preserve"> - </v>
      </c>
      <c r="I372" t="str">
        <f t="shared" si="51"/>
        <v/>
      </c>
      <c r="J372" t="str">
        <f t="shared" si="57"/>
        <v>Leeds United FC</v>
      </c>
      <c r="K372" t="str">
        <f t="shared" si="58"/>
        <v>Matchday 25</v>
      </c>
      <c r="L372" t="str">
        <f t="shared" si="59"/>
        <v>[Sat Feb/20]</v>
      </c>
    </row>
    <row r="373" spans="1:12" hidden="1">
      <c r="A373" t="str">
        <f>IF(Sheet1!A376="","",Sheet1!A376)</f>
        <v/>
      </c>
      <c r="C373" t="str">
        <f t="shared" si="52"/>
        <v/>
      </c>
      <c r="D373" t="str">
        <f t="shared" si="50"/>
        <v/>
      </c>
      <c r="E373" t="str">
        <f t="shared" si="53"/>
        <v/>
      </c>
      <c r="F373" t="str">
        <f t="shared" si="54"/>
        <v/>
      </c>
      <c r="G373" t="str">
        <f t="shared" si="55"/>
        <v/>
      </c>
      <c r="H373" t="str">
        <f t="shared" si="56"/>
        <v/>
      </c>
      <c r="I373" t="str">
        <f t="shared" si="51"/>
        <v/>
      </c>
      <c r="J373" t="str">
        <f t="shared" si="57"/>
        <v/>
      </c>
      <c r="K373" t="str">
        <f t="shared" si="58"/>
        <v>Matchday 25</v>
      </c>
      <c r="L373" t="str">
        <f t="shared" si="59"/>
        <v/>
      </c>
    </row>
    <row r="374" spans="1:12" hidden="1">
      <c r="A374" t="str">
        <f>IF(Sheet1!A377="","",Sheet1!A377)</f>
        <v/>
      </c>
      <c r="C374" t="str">
        <f t="shared" si="52"/>
        <v/>
      </c>
      <c r="D374" t="str">
        <f t="shared" si="50"/>
        <v/>
      </c>
      <c r="E374" t="str">
        <f t="shared" si="53"/>
        <v/>
      </c>
      <c r="F374" t="str">
        <f t="shared" si="54"/>
        <v/>
      </c>
      <c r="G374" t="str">
        <f t="shared" si="55"/>
        <v/>
      </c>
      <c r="H374" t="str">
        <f t="shared" si="56"/>
        <v/>
      </c>
      <c r="I374" t="str">
        <f t="shared" si="51"/>
        <v/>
      </c>
      <c r="J374" t="str">
        <f t="shared" si="57"/>
        <v/>
      </c>
      <c r="K374" t="str">
        <f t="shared" si="58"/>
        <v>Matchday 25</v>
      </c>
      <c r="L374" t="str">
        <f t="shared" si="59"/>
        <v/>
      </c>
    </row>
    <row r="375" spans="1:12" hidden="1">
      <c r="A375" t="str">
        <f>IF(Sheet1!A378="","",Sheet1!A378)</f>
        <v>Matchday 26</v>
      </c>
      <c r="C375" t="str">
        <f t="shared" si="52"/>
        <v/>
      </c>
      <c r="D375" t="str">
        <f t="shared" si="50"/>
        <v/>
      </c>
      <c r="E375" t="str">
        <f t="shared" si="53"/>
        <v/>
      </c>
      <c r="F375" t="str">
        <f t="shared" si="54"/>
        <v/>
      </c>
      <c r="G375" t="str">
        <f t="shared" si="55"/>
        <v/>
      </c>
      <c r="H375" t="str">
        <f t="shared" si="56"/>
        <v/>
      </c>
      <c r="I375" t="str">
        <f t="shared" si="51"/>
        <v/>
      </c>
      <c r="J375" t="str">
        <f t="shared" si="57"/>
        <v/>
      </c>
      <c r="K375" t="str">
        <f t="shared" si="58"/>
        <v>Matchday 25</v>
      </c>
      <c r="L375" t="str">
        <f t="shared" si="59"/>
        <v/>
      </c>
    </row>
    <row r="376" spans="1:12" hidden="1">
      <c r="A376" t="str">
        <f>IF(Sheet1!A379="","",Sheet1!A379)</f>
        <v>[Sat Feb/27]</v>
      </c>
      <c r="C376" t="str">
        <f t="shared" si="52"/>
        <v/>
      </c>
      <c r="D376" t="str">
        <f t="shared" si="50"/>
        <v/>
      </c>
      <c r="E376" t="str">
        <f t="shared" si="53"/>
        <v/>
      </c>
      <c r="F376" t="str">
        <f t="shared" si="54"/>
        <v/>
      </c>
      <c r="G376" t="str">
        <f t="shared" si="55"/>
        <v/>
      </c>
      <c r="H376" t="str">
        <f t="shared" si="56"/>
        <v/>
      </c>
      <c r="I376" t="str">
        <f t="shared" si="51"/>
        <v/>
      </c>
      <c r="J376" t="str">
        <f t="shared" si="57"/>
        <v/>
      </c>
      <c r="K376" t="str">
        <f t="shared" si="58"/>
        <v>Matchday 25</v>
      </c>
      <c r="L376" t="str">
        <f t="shared" si="59"/>
        <v/>
      </c>
    </row>
    <row r="377" spans="1:12">
      <c r="A377" t="str">
        <f>IF(Sheet1!A380="","",Sheet1!A380)</f>
        <v xml:space="preserve">  Chelsea FC               -  Manchester United</v>
      </c>
      <c r="C377">
        <f t="shared" si="52"/>
        <v>11</v>
      </c>
      <c r="D377">
        <f t="shared" si="50"/>
        <v>28</v>
      </c>
      <c r="E377">
        <f t="shared" si="53"/>
        <v>49</v>
      </c>
      <c r="F377" t="str">
        <f t="shared" si="54"/>
        <v/>
      </c>
      <c r="G377" t="str">
        <f t="shared" si="55"/>
        <v xml:space="preserve">Chelsea FC </v>
      </c>
      <c r="H377" t="str">
        <f t="shared" si="56"/>
        <v xml:space="preserve"> - </v>
      </c>
      <c r="I377" t="str">
        <f t="shared" si="51"/>
        <v/>
      </c>
      <c r="J377" t="str">
        <f t="shared" si="57"/>
        <v>Manchester United</v>
      </c>
      <c r="K377" t="str">
        <f t="shared" si="58"/>
        <v>Matchday 26</v>
      </c>
      <c r="L377" t="str">
        <f t="shared" si="59"/>
        <v>[Sat Feb/27]</v>
      </c>
    </row>
    <row r="378" spans="1:12">
      <c r="A378" t="str">
        <f>IF(Sheet1!A381="","",Sheet1!A381)</f>
        <v xml:space="preserve">  Crystal Palace FC        -  Fulham FC</v>
      </c>
      <c r="C378">
        <f t="shared" si="52"/>
        <v>18</v>
      </c>
      <c r="D378">
        <f t="shared" si="50"/>
        <v>28</v>
      </c>
      <c r="E378">
        <f t="shared" si="53"/>
        <v>38</v>
      </c>
      <c r="F378" t="str">
        <f t="shared" si="54"/>
        <v/>
      </c>
      <c r="G378" t="str">
        <f t="shared" si="55"/>
        <v xml:space="preserve">Crystal Palace FC </v>
      </c>
      <c r="H378" t="str">
        <f t="shared" si="56"/>
        <v xml:space="preserve"> - </v>
      </c>
      <c r="I378" t="str">
        <f t="shared" si="51"/>
        <v/>
      </c>
      <c r="J378" t="str">
        <f t="shared" si="57"/>
        <v>Fulham FC</v>
      </c>
      <c r="K378" t="str">
        <f t="shared" si="58"/>
        <v>Matchday 26</v>
      </c>
      <c r="L378" t="str">
        <f t="shared" si="59"/>
        <v>[Sat Feb/27]</v>
      </c>
    </row>
    <row r="379" spans="1:12">
      <c r="A379" t="str">
        <f>IF(Sheet1!A382="","",Sheet1!A382)</f>
        <v xml:space="preserve">  Everton FC               -  Southampton FC</v>
      </c>
      <c r="C379">
        <f t="shared" si="52"/>
        <v>11</v>
      </c>
      <c r="D379">
        <f t="shared" si="50"/>
        <v>28</v>
      </c>
      <c r="E379">
        <f t="shared" si="53"/>
        <v>43</v>
      </c>
      <c r="F379" t="str">
        <f t="shared" si="54"/>
        <v/>
      </c>
      <c r="G379" t="str">
        <f t="shared" si="55"/>
        <v xml:space="preserve">Everton FC </v>
      </c>
      <c r="H379" t="str">
        <f t="shared" si="56"/>
        <v xml:space="preserve"> - </v>
      </c>
      <c r="I379" t="str">
        <f t="shared" si="51"/>
        <v/>
      </c>
      <c r="J379" t="str">
        <f t="shared" si="57"/>
        <v>Southampton FC</v>
      </c>
      <c r="K379" t="str">
        <f t="shared" si="58"/>
        <v>Matchday 26</v>
      </c>
      <c r="L379" t="str">
        <f t="shared" si="59"/>
        <v>[Sat Feb/27]</v>
      </c>
    </row>
    <row r="380" spans="1:12">
      <c r="A380" t="str">
        <f>IF(Sheet1!A383="","",Sheet1!A383)</f>
        <v xml:space="preserve">  Leeds United FC          -  Aston Villa FC</v>
      </c>
      <c r="C380">
        <f t="shared" si="52"/>
        <v>16</v>
      </c>
      <c r="D380">
        <f t="shared" si="50"/>
        <v>28</v>
      </c>
      <c r="E380">
        <f t="shared" si="53"/>
        <v>43</v>
      </c>
      <c r="F380" t="str">
        <f t="shared" si="54"/>
        <v/>
      </c>
      <c r="G380" t="str">
        <f t="shared" si="55"/>
        <v xml:space="preserve">Leeds United FC </v>
      </c>
      <c r="H380" t="str">
        <f t="shared" si="56"/>
        <v xml:space="preserve"> - </v>
      </c>
      <c r="I380" t="str">
        <f t="shared" si="51"/>
        <v/>
      </c>
      <c r="J380" t="str">
        <f t="shared" si="57"/>
        <v>Aston Villa FC</v>
      </c>
      <c r="K380" t="str">
        <f t="shared" si="58"/>
        <v>Matchday 26</v>
      </c>
      <c r="L380" t="str">
        <f t="shared" si="59"/>
        <v>[Sat Feb/27]</v>
      </c>
    </row>
    <row r="381" spans="1:12">
      <c r="A381" t="str">
        <f>IF(Sheet1!A384="","",Sheet1!A384)</f>
        <v xml:space="preserve">  Leicester City FC        -  Arsenal FC</v>
      </c>
      <c r="C381">
        <f t="shared" si="52"/>
        <v>18</v>
      </c>
      <c r="D381">
        <f t="shared" si="50"/>
        <v>28</v>
      </c>
      <c r="E381">
        <f t="shared" si="53"/>
        <v>39</v>
      </c>
      <c r="F381" t="str">
        <f t="shared" si="54"/>
        <v/>
      </c>
      <c r="G381" t="str">
        <f t="shared" si="55"/>
        <v xml:space="preserve">Leicester City FC </v>
      </c>
      <c r="H381" t="str">
        <f t="shared" si="56"/>
        <v xml:space="preserve"> - </v>
      </c>
      <c r="I381" t="str">
        <f t="shared" si="51"/>
        <v/>
      </c>
      <c r="J381" t="str">
        <f t="shared" si="57"/>
        <v>Arsenal FC</v>
      </c>
      <c r="K381" t="str">
        <f t="shared" si="58"/>
        <v>Matchday 26</v>
      </c>
      <c r="L381" t="str">
        <f t="shared" si="59"/>
        <v>[Sat Feb/27]</v>
      </c>
    </row>
    <row r="382" spans="1:12">
      <c r="A382" t="str">
        <f>IF(Sheet1!A385="","",Sheet1!A385)</f>
        <v xml:space="preserve">  Manchester City FC       -  West Ham United FC</v>
      </c>
      <c r="C382">
        <f t="shared" si="52"/>
        <v>19</v>
      </c>
      <c r="D382">
        <f t="shared" si="50"/>
        <v>28</v>
      </c>
      <c r="E382">
        <f t="shared" si="53"/>
        <v>47</v>
      </c>
      <c r="F382" t="str">
        <f t="shared" si="54"/>
        <v/>
      </c>
      <c r="G382" t="str">
        <f t="shared" si="55"/>
        <v xml:space="preserve">Manchester City FC </v>
      </c>
      <c r="H382" t="str">
        <f t="shared" si="56"/>
        <v xml:space="preserve"> - </v>
      </c>
      <c r="I382" t="str">
        <f t="shared" si="51"/>
        <v/>
      </c>
      <c r="J382" t="str">
        <f t="shared" si="57"/>
        <v>West Ham United FC</v>
      </c>
      <c r="K382" t="str">
        <f t="shared" si="58"/>
        <v>Matchday 26</v>
      </c>
      <c r="L382" t="str">
        <f t="shared" si="59"/>
        <v>[Sat Feb/27]</v>
      </c>
    </row>
    <row r="383" spans="1:12">
      <c r="A383" t="str">
        <f>IF(Sheet1!A386="","",Sheet1!A386)</f>
        <v xml:space="preserve">  Newcastle United FC      -  Wolverhampton Wanderers FC</v>
      </c>
      <c r="C383">
        <f t="shared" si="52"/>
        <v>20</v>
      </c>
      <c r="D383">
        <f t="shared" si="50"/>
        <v>28</v>
      </c>
      <c r="E383">
        <f t="shared" si="53"/>
        <v>55</v>
      </c>
      <c r="F383" t="str">
        <f t="shared" si="54"/>
        <v/>
      </c>
      <c r="G383" t="str">
        <f t="shared" si="55"/>
        <v xml:space="preserve">Newcastle United FC </v>
      </c>
      <c r="H383" t="str">
        <f t="shared" si="56"/>
        <v xml:space="preserve"> - </v>
      </c>
      <c r="I383" t="str">
        <f t="shared" si="51"/>
        <v/>
      </c>
      <c r="J383" t="str">
        <f t="shared" si="57"/>
        <v>Wolverhampton Wanderers FC</v>
      </c>
      <c r="K383" t="str">
        <f t="shared" si="58"/>
        <v>Matchday 26</v>
      </c>
      <c r="L383" t="str">
        <f t="shared" si="59"/>
        <v>[Sat Feb/27]</v>
      </c>
    </row>
    <row r="384" spans="1:12">
      <c r="A384" t="str">
        <f>IF(Sheet1!A387="","",Sheet1!A387)</f>
        <v xml:space="preserve">  Sheffield United FC      -  Liverpool FC</v>
      </c>
      <c r="C384">
        <f t="shared" si="52"/>
        <v>20</v>
      </c>
      <c r="D384">
        <f t="shared" si="50"/>
        <v>28</v>
      </c>
      <c r="E384">
        <f t="shared" si="53"/>
        <v>41</v>
      </c>
      <c r="F384" t="str">
        <f t="shared" si="54"/>
        <v/>
      </c>
      <c r="G384" t="str">
        <f t="shared" si="55"/>
        <v xml:space="preserve">Sheffield United FC </v>
      </c>
      <c r="H384" t="str">
        <f t="shared" si="56"/>
        <v xml:space="preserve"> - </v>
      </c>
      <c r="I384" t="str">
        <f t="shared" si="51"/>
        <v/>
      </c>
      <c r="J384" t="str">
        <f t="shared" si="57"/>
        <v>Liverpool FC</v>
      </c>
      <c r="K384" t="str">
        <f t="shared" si="58"/>
        <v>Matchday 26</v>
      </c>
      <c r="L384" t="str">
        <f t="shared" si="59"/>
        <v>[Sat Feb/27]</v>
      </c>
    </row>
    <row r="385" spans="1:12">
      <c r="A385" t="str">
        <f>IF(Sheet1!A388="","",Sheet1!A388)</f>
        <v xml:space="preserve">  Tottenham Hotspur FC     -  Burnley FC</v>
      </c>
      <c r="C385">
        <f t="shared" si="52"/>
        <v>21</v>
      </c>
      <c r="D385">
        <f t="shared" si="50"/>
        <v>28</v>
      </c>
      <c r="E385">
        <f t="shared" si="53"/>
        <v>39</v>
      </c>
      <c r="F385" t="str">
        <f t="shared" si="54"/>
        <v/>
      </c>
      <c r="G385" t="str">
        <f t="shared" si="55"/>
        <v xml:space="preserve">Tottenham Hotspur FC </v>
      </c>
      <c r="H385" t="str">
        <f t="shared" si="56"/>
        <v xml:space="preserve"> - </v>
      </c>
      <c r="I385" t="str">
        <f t="shared" si="51"/>
        <v/>
      </c>
      <c r="J385" t="str">
        <f t="shared" si="57"/>
        <v>Burnley FC</v>
      </c>
      <c r="K385" t="str">
        <f t="shared" si="58"/>
        <v>Matchday 26</v>
      </c>
      <c r="L385" t="str">
        <f t="shared" si="59"/>
        <v>[Sat Feb/27]</v>
      </c>
    </row>
    <row r="386" spans="1:12">
      <c r="A386" t="str">
        <f>IF(Sheet1!A389="","",Sheet1!A389)</f>
        <v xml:space="preserve">  West Bromwich Albion FC  -  Brighton &amp; Hove Albion FC</v>
      </c>
      <c r="C386">
        <f t="shared" si="52"/>
        <v>24</v>
      </c>
      <c r="D386">
        <f t="shared" si="50"/>
        <v>28</v>
      </c>
      <c r="E386">
        <f t="shared" si="53"/>
        <v>54</v>
      </c>
      <c r="F386" t="str">
        <f t="shared" si="54"/>
        <v/>
      </c>
      <c r="G386" t="str">
        <f t="shared" si="55"/>
        <v xml:space="preserve">West Bromwich Albion FC </v>
      </c>
      <c r="H386" t="str">
        <f t="shared" si="56"/>
        <v xml:space="preserve"> - </v>
      </c>
      <c r="I386" t="str">
        <f t="shared" si="51"/>
        <v/>
      </c>
      <c r="J386" t="str">
        <f t="shared" si="57"/>
        <v>Brighton &amp; Hove Albion FC</v>
      </c>
      <c r="K386" t="str">
        <f t="shared" si="58"/>
        <v>Matchday 26</v>
      </c>
      <c r="L386" t="str">
        <f t="shared" si="59"/>
        <v>[Sat Feb/27]</v>
      </c>
    </row>
    <row r="387" spans="1:12" hidden="1">
      <c r="A387" t="str">
        <f>IF(Sheet1!A390="","",Sheet1!A390)</f>
        <v/>
      </c>
      <c r="C387" t="str">
        <f t="shared" si="52"/>
        <v/>
      </c>
      <c r="D387" t="str">
        <f t="shared" ref="D387:D450" si="60">IFERROR(FIND("-",A387),"")</f>
        <v/>
      </c>
      <c r="E387" t="str">
        <f t="shared" si="53"/>
        <v/>
      </c>
      <c r="F387" t="str">
        <f t="shared" si="54"/>
        <v/>
      </c>
      <c r="G387" t="str">
        <f t="shared" si="55"/>
        <v/>
      </c>
      <c r="H387" t="str">
        <f t="shared" si="56"/>
        <v/>
      </c>
      <c r="I387" t="str">
        <f t="shared" ref="I387:I450" si="61">IFERROR(IF(LEFT(H387,1)=" ","",MID(A387,D387+4,3)),"")</f>
        <v/>
      </c>
      <c r="J387" t="str">
        <f t="shared" si="57"/>
        <v/>
      </c>
      <c r="K387" t="str">
        <f t="shared" si="58"/>
        <v>Matchday 26</v>
      </c>
      <c r="L387" t="str">
        <f t="shared" si="59"/>
        <v/>
      </c>
    </row>
    <row r="388" spans="1:12" hidden="1">
      <c r="A388" t="str">
        <f>IF(Sheet1!A391="","",Sheet1!A391)</f>
        <v/>
      </c>
      <c r="C388" t="str">
        <f t="shared" ref="C388:C451" si="62">IFERROR(FIND("FC",SUBSTITUTE(A388,"Manchester United","Manchester United FC")),"")</f>
        <v/>
      </c>
      <c r="D388" t="str">
        <f t="shared" si="60"/>
        <v/>
      </c>
      <c r="E388" t="str">
        <f t="shared" ref="E388:E451" si="63">IFERROR(FIND("FC",SUBSTITUTE(A388,"Manchester United","Manchester United FC"),D388),"")</f>
        <v/>
      </c>
      <c r="F388" t="str">
        <f t="shared" ref="F388:F451" si="64">IFERROR(IF(VALUE(MID($A388,3,2))&lt;25,MID($A388,3,5),""),"")</f>
        <v/>
      </c>
      <c r="G388" t="str">
        <f t="shared" ref="G388:G451" si="65">IFERROR(IFERROR(IF(VALUE(MID($A388,3,2))&lt;25,MID($A388,10,C388-8),""),MID(A388,3,C388)),"")</f>
        <v/>
      </c>
      <c r="H388" t="str">
        <f t="shared" ref="H388:H451" si="66">IFERROR(MID(A388,D388-1,3),"")</f>
        <v/>
      </c>
      <c r="I388" t="str">
        <f t="shared" si="61"/>
        <v/>
      </c>
      <c r="J388" t="str">
        <f t="shared" ref="J388:J451" si="67">IFERROR(IFERROR(IF(VALUE(MID($A388,3,2))&lt;25,MID($A388,D388+10,E388-8),""),MID(A388,D388+3,E388)),"")</f>
        <v/>
      </c>
      <c r="K388" t="str">
        <f t="shared" ref="K388:K451" si="68">IF(LEFT(A386,8)="Matchday",A386,K387)</f>
        <v>Matchday 26</v>
      </c>
      <c r="L388" t="str">
        <f t="shared" ref="L388:L451" si="69">IF(C388="","",IF(LEFT(A387,1)="[",A387,L387))</f>
        <v/>
      </c>
    </row>
    <row r="389" spans="1:12" hidden="1">
      <c r="A389" t="str">
        <f>IF(Sheet1!A392="","",Sheet1!A392)</f>
        <v>Matchday 27</v>
      </c>
      <c r="C389" t="str">
        <f t="shared" si="62"/>
        <v/>
      </c>
      <c r="D389" t="str">
        <f t="shared" si="60"/>
        <v/>
      </c>
      <c r="E389" t="str">
        <f t="shared" si="63"/>
        <v/>
      </c>
      <c r="F389" t="str">
        <f t="shared" si="64"/>
        <v/>
      </c>
      <c r="G389" t="str">
        <f t="shared" si="65"/>
        <v/>
      </c>
      <c r="H389" t="str">
        <f t="shared" si="66"/>
        <v/>
      </c>
      <c r="I389" t="str">
        <f t="shared" si="61"/>
        <v/>
      </c>
      <c r="J389" t="str">
        <f t="shared" si="67"/>
        <v/>
      </c>
      <c r="K389" t="str">
        <f t="shared" si="68"/>
        <v>Matchday 26</v>
      </c>
      <c r="L389" t="str">
        <f t="shared" si="69"/>
        <v/>
      </c>
    </row>
    <row r="390" spans="1:12" hidden="1">
      <c r="A390" t="str">
        <f>IF(Sheet1!A393="","",Sheet1!A393)</f>
        <v>[Sat Mar/6]</v>
      </c>
      <c r="C390" t="str">
        <f t="shared" si="62"/>
        <v/>
      </c>
      <c r="D390" t="str">
        <f t="shared" si="60"/>
        <v/>
      </c>
      <c r="E390" t="str">
        <f t="shared" si="63"/>
        <v/>
      </c>
      <c r="F390" t="str">
        <f t="shared" si="64"/>
        <v/>
      </c>
      <c r="G390" t="str">
        <f t="shared" si="65"/>
        <v/>
      </c>
      <c r="H390" t="str">
        <f t="shared" si="66"/>
        <v/>
      </c>
      <c r="I390" t="str">
        <f t="shared" si="61"/>
        <v/>
      </c>
      <c r="J390" t="str">
        <f t="shared" si="67"/>
        <v/>
      </c>
      <c r="K390" t="str">
        <f t="shared" si="68"/>
        <v>Matchday 26</v>
      </c>
      <c r="L390" t="str">
        <f t="shared" si="69"/>
        <v/>
      </c>
    </row>
    <row r="391" spans="1:12">
      <c r="A391" t="str">
        <f>IF(Sheet1!A394="","",Sheet1!A394)</f>
        <v xml:space="preserve">  Aston Villa FC           -  Wolverhampton Wanderers FC</v>
      </c>
      <c r="C391">
        <f t="shared" si="62"/>
        <v>15</v>
      </c>
      <c r="D391">
        <f t="shared" si="60"/>
        <v>28</v>
      </c>
      <c r="E391">
        <f t="shared" si="63"/>
        <v>55</v>
      </c>
      <c r="F391" t="str">
        <f t="shared" si="64"/>
        <v/>
      </c>
      <c r="G391" t="str">
        <f t="shared" si="65"/>
        <v xml:space="preserve">Aston Villa FC </v>
      </c>
      <c r="H391" t="str">
        <f t="shared" si="66"/>
        <v xml:space="preserve"> - </v>
      </c>
      <c r="I391" t="str">
        <f t="shared" si="61"/>
        <v/>
      </c>
      <c r="J391" t="str">
        <f t="shared" si="67"/>
        <v>Wolverhampton Wanderers FC</v>
      </c>
      <c r="K391" t="str">
        <f t="shared" si="68"/>
        <v>Matchday 27</v>
      </c>
      <c r="L391" t="str">
        <f t="shared" si="69"/>
        <v>[Sat Mar/6]</v>
      </c>
    </row>
    <row r="392" spans="1:12">
      <c r="A392" t="str">
        <f>IF(Sheet1!A395="","",Sheet1!A395)</f>
        <v xml:space="preserve">  Brighton &amp; Hove Albion FC  -  Leicester City FC</v>
      </c>
      <c r="C392">
        <f t="shared" si="62"/>
        <v>26</v>
      </c>
      <c r="D392">
        <f t="shared" si="60"/>
        <v>30</v>
      </c>
      <c r="E392">
        <f t="shared" si="63"/>
        <v>48</v>
      </c>
      <c r="F392" t="str">
        <f t="shared" si="64"/>
        <v/>
      </c>
      <c r="G392" t="str">
        <f t="shared" si="65"/>
        <v xml:space="preserve">Brighton &amp; Hove Albion FC </v>
      </c>
      <c r="H392" t="str">
        <f t="shared" si="66"/>
        <v xml:space="preserve"> - </v>
      </c>
      <c r="I392" t="str">
        <f t="shared" si="61"/>
        <v/>
      </c>
      <c r="J392" t="str">
        <f t="shared" si="67"/>
        <v>Leicester City FC</v>
      </c>
      <c r="K392" t="str">
        <f t="shared" si="68"/>
        <v>Matchday 27</v>
      </c>
      <c r="L392" t="str">
        <f t="shared" si="69"/>
        <v>[Sat Mar/6]</v>
      </c>
    </row>
    <row r="393" spans="1:12">
      <c r="A393" t="str">
        <f>IF(Sheet1!A396="","",Sheet1!A396)</f>
        <v xml:space="preserve">  Burnley FC               -  Arsenal FC</v>
      </c>
      <c r="C393">
        <f t="shared" si="62"/>
        <v>11</v>
      </c>
      <c r="D393">
        <f t="shared" si="60"/>
        <v>28</v>
      </c>
      <c r="E393">
        <f t="shared" si="63"/>
        <v>39</v>
      </c>
      <c r="F393" t="str">
        <f t="shared" si="64"/>
        <v/>
      </c>
      <c r="G393" t="str">
        <f t="shared" si="65"/>
        <v xml:space="preserve">Burnley FC </v>
      </c>
      <c r="H393" t="str">
        <f t="shared" si="66"/>
        <v xml:space="preserve"> - </v>
      </c>
      <c r="I393" t="str">
        <f t="shared" si="61"/>
        <v/>
      </c>
      <c r="J393" t="str">
        <f t="shared" si="67"/>
        <v>Arsenal FC</v>
      </c>
      <c r="K393" t="str">
        <f t="shared" si="68"/>
        <v>Matchday 27</v>
      </c>
      <c r="L393" t="str">
        <f t="shared" si="69"/>
        <v>[Sat Mar/6]</v>
      </c>
    </row>
    <row r="394" spans="1:12">
      <c r="A394" t="str">
        <f>IF(Sheet1!A397="","",Sheet1!A397)</f>
        <v xml:space="preserve">  Chelsea FC               -  Everton FC</v>
      </c>
      <c r="C394">
        <f t="shared" si="62"/>
        <v>11</v>
      </c>
      <c r="D394">
        <f t="shared" si="60"/>
        <v>28</v>
      </c>
      <c r="E394">
        <f t="shared" si="63"/>
        <v>39</v>
      </c>
      <c r="F394" t="str">
        <f t="shared" si="64"/>
        <v/>
      </c>
      <c r="G394" t="str">
        <f t="shared" si="65"/>
        <v xml:space="preserve">Chelsea FC </v>
      </c>
      <c r="H394" t="str">
        <f t="shared" si="66"/>
        <v xml:space="preserve"> - </v>
      </c>
      <c r="I394" t="str">
        <f t="shared" si="61"/>
        <v/>
      </c>
      <c r="J394" t="str">
        <f t="shared" si="67"/>
        <v>Everton FC</v>
      </c>
      <c r="K394" t="str">
        <f t="shared" si="68"/>
        <v>Matchday 27</v>
      </c>
      <c r="L394" t="str">
        <f t="shared" si="69"/>
        <v>[Sat Mar/6]</v>
      </c>
    </row>
    <row r="395" spans="1:12">
      <c r="A395" t="str">
        <f>IF(Sheet1!A398="","",Sheet1!A398)</f>
        <v xml:space="preserve">  Liverpool FC             -  Fulham FC</v>
      </c>
      <c r="C395">
        <f t="shared" si="62"/>
        <v>13</v>
      </c>
      <c r="D395">
        <f t="shared" si="60"/>
        <v>28</v>
      </c>
      <c r="E395">
        <f t="shared" si="63"/>
        <v>38</v>
      </c>
      <c r="F395" t="str">
        <f t="shared" si="64"/>
        <v/>
      </c>
      <c r="G395" t="str">
        <f t="shared" si="65"/>
        <v xml:space="preserve">Liverpool FC </v>
      </c>
      <c r="H395" t="str">
        <f t="shared" si="66"/>
        <v xml:space="preserve"> - </v>
      </c>
      <c r="I395" t="str">
        <f t="shared" si="61"/>
        <v/>
      </c>
      <c r="J395" t="str">
        <f t="shared" si="67"/>
        <v>Fulham FC</v>
      </c>
      <c r="K395" t="str">
        <f t="shared" si="68"/>
        <v>Matchday 27</v>
      </c>
      <c r="L395" t="str">
        <f t="shared" si="69"/>
        <v>[Sat Mar/6]</v>
      </c>
    </row>
    <row r="396" spans="1:12">
      <c r="A396" t="str">
        <f>IF(Sheet1!A399="","",Sheet1!A399)</f>
        <v xml:space="preserve">  Manchester City FC       -  Manchester United</v>
      </c>
      <c r="C396">
        <f t="shared" si="62"/>
        <v>19</v>
      </c>
      <c r="D396">
        <f t="shared" si="60"/>
        <v>28</v>
      </c>
      <c r="E396">
        <f t="shared" si="63"/>
        <v>49</v>
      </c>
      <c r="F396" t="str">
        <f t="shared" si="64"/>
        <v/>
      </c>
      <c r="G396" t="str">
        <f t="shared" si="65"/>
        <v xml:space="preserve">Manchester City FC </v>
      </c>
      <c r="H396" t="str">
        <f t="shared" si="66"/>
        <v xml:space="preserve"> - </v>
      </c>
      <c r="I396" t="str">
        <f t="shared" si="61"/>
        <v/>
      </c>
      <c r="J396" t="str">
        <f t="shared" si="67"/>
        <v>Manchester United</v>
      </c>
      <c r="K396" t="str">
        <f t="shared" si="68"/>
        <v>Matchday 27</v>
      </c>
      <c r="L396" t="str">
        <f t="shared" si="69"/>
        <v>[Sat Mar/6]</v>
      </c>
    </row>
    <row r="397" spans="1:12">
      <c r="A397" t="str">
        <f>IF(Sheet1!A400="","",Sheet1!A400)</f>
        <v xml:space="preserve">  Sheffield United FC      -  Southampton FC</v>
      </c>
      <c r="C397">
        <f t="shared" si="62"/>
        <v>20</v>
      </c>
      <c r="D397">
        <f t="shared" si="60"/>
        <v>28</v>
      </c>
      <c r="E397">
        <f t="shared" si="63"/>
        <v>43</v>
      </c>
      <c r="F397" t="str">
        <f t="shared" si="64"/>
        <v/>
      </c>
      <c r="G397" t="str">
        <f t="shared" si="65"/>
        <v xml:space="preserve">Sheffield United FC </v>
      </c>
      <c r="H397" t="str">
        <f t="shared" si="66"/>
        <v xml:space="preserve"> - </v>
      </c>
      <c r="I397" t="str">
        <f t="shared" si="61"/>
        <v/>
      </c>
      <c r="J397" t="str">
        <f t="shared" si="67"/>
        <v>Southampton FC</v>
      </c>
      <c r="K397" t="str">
        <f t="shared" si="68"/>
        <v>Matchday 27</v>
      </c>
      <c r="L397" t="str">
        <f t="shared" si="69"/>
        <v>[Sat Mar/6]</v>
      </c>
    </row>
    <row r="398" spans="1:12">
      <c r="A398" t="str">
        <f>IF(Sheet1!A401="","",Sheet1!A401)</f>
        <v xml:space="preserve">  Tottenham Hotspur FC     -  Crystal Palace FC</v>
      </c>
      <c r="C398">
        <f t="shared" si="62"/>
        <v>21</v>
      </c>
      <c r="D398">
        <f t="shared" si="60"/>
        <v>28</v>
      </c>
      <c r="E398">
        <f t="shared" si="63"/>
        <v>46</v>
      </c>
      <c r="F398" t="str">
        <f t="shared" si="64"/>
        <v/>
      </c>
      <c r="G398" t="str">
        <f t="shared" si="65"/>
        <v xml:space="preserve">Tottenham Hotspur FC </v>
      </c>
      <c r="H398" t="str">
        <f t="shared" si="66"/>
        <v xml:space="preserve"> - </v>
      </c>
      <c r="I398" t="str">
        <f t="shared" si="61"/>
        <v/>
      </c>
      <c r="J398" t="str">
        <f t="shared" si="67"/>
        <v>Crystal Palace FC</v>
      </c>
      <c r="K398" t="str">
        <f t="shared" si="68"/>
        <v>Matchday 27</v>
      </c>
      <c r="L398" t="str">
        <f t="shared" si="69"/>
        <v>[Sat Mar/6]</v>
      </c>
    </row>
    <row r="399" spans="1:12">
      <c r="A399" t="str">
        <f>IF(Sheet1!A402="","",Sheet1!A402)</f>
        <v xml:space="preserve">  West Bromwich Albion FC  -  Newcastle United FC</v>
      </c>
      <c r="C399">
        <f t="shared" si="62"/>
        <v>24</v>
      </c>
      <c r="D399">
        <f t="shared" si="60"/>
        <v>28</v>
      </c>
      <c r="E399">
        <f t="shared" si="63"/>
        <v>48</v>
      </c>
      <c r="F399" t="str">
        <f t="shared" si="64"/>
        <v/>
      </c>
      <c r="G399" t="str">
        <f t="shared" si="65"/>
        <v xml:space="preserve">West Bromwich Albion FC </v>
      </c>
      <c r="H399" t="str">
        <f t="shared" si="66"/>
        <v xml:space="preserve"> - </v>
      </c>
      <c r="I399" t="str">
        <f t="shared" si="61"/>
        <v/>
      </c>
      <c r="J399" t="str">
        <f t="shared" si="67"/>
        <v>Newcastle United FC</v>
      </c>
      <c r="K399" t="str">
        <f t="shared" si="68"/>
        <v>Matchday 27</v>
      </c>
      <c r="L399" t="str">
        <f t="shared" si="69"/>
        <v>[Sat Mar/6]</v>
      </c>
    </row>
    <row r="400" spans="1:12">
      <c r="A400" t="str">
        <f>IF(Sheet1!A403="","",Sheet1!A403)</f>
        <v xml:space="preserve">  West Ham United FC       -  Leeds United FC</v>
      </c>
      <c r="C400">
        <f t="shared" si="62"/>
        <v>19</v>
      </c>
      <c r="D400">
        <f t="shared" si="60"/>
        <v>28</v>
      </c>
      <c r="E400">
        <f t="shared" si="63"/>
        <v>44</v>
      </c>
      <c r="F400" t="str">
        <f t="shared" si="64"/>
        <v/>
      </c>
      <c r="G400" t="str">
        <f t="shared" si="65"/>
        <v xml:space="preserve">West Ham United FC </v>
      </c>
      <c r="H400" t="str">
        <f t="shared" si="66"/>
        <v xml:space="preserve"> - </v>
      </c>
      <c r="I400" t="str">
        <f t="shared" si="61"/>
        <v/>
      </c>
      <c r="J400" t="str">
        <f t="shared" si="67"/>
        <v>Leeds United FC</v>
      </c>
      <c r="K400" t="str">
        <f t="shared" si="68"/>
        <v>Matchday 27</v>
      </c>
      <c r="L400" t="str">
        <f t="shared" si="69"/>
        <v>[Sat Mar/6]</v>
      </c>
    </row>
    <row r="401" spans="1:12" hidden="1">
      <c r="A401" t="str">
        <f>IF(Sheet1!A404="","",Sheet1!A404)</f>
        <v/>
      </c>
      <c r="C401" t="str">
        <f t="shared" si="62"/>
        <v/>
      </c>
      <c r="D401" t="str">
        <f t="shared" si="60"/>
        <v/>
      </c>
      <c r="E401" t="str">
        <f t="shared" si="63"/>
        <v/>
      </c>
      <c r="F401" t="str">
        <f t="shared" si="64"/>
        <v/>
      </c>
      <c r="G401" t="str">
        <f t="shared" si="65"/>
        <v/>
      </c>
      <c r="H401" t="str">
        <f t="shared" si="66"/>
        <v/>
      </c>
      <c r="I401" t="str">
        <f t="shared" si="61"/>
        <v/>
      </c>
      <c r="J401" t="str">
        <f t="shared" si="67"/>
        <v/>
      </c>
      <c r="K401" t="str">
        <f t="shared" si="68"/>
        <v>Matchday 27</v>
      </c>
      <c r="L401" t="str">
        <f t="shared" si="69"/>
        <v/>
      </c>
    </row>
    <row r="402" spans="1:12" hidden="1">
      <c r="A402" t="str">
        <f>IF(Sheet1!A405="","",Sheet1!A405)</f>
        <v/>
      </c>
      <c r="C402" t="str">
        <f t="shared" si="62"/>
        <v/>
      </c>
      <c r="D402" t="str">
        <f t="shared" si="60"/>
        <v/>
      </c>
      <c r="E402" t="str">
        <f t="shared" si="63"/>
        <v/>
      </c>
      <c r="F402" t="str">
        <f t="shared" si="64"/>
        <v/>
      </c>
      <c r="G402" t="str">
        <f t="shared" si="65"/>
        <v/>
      </c>
      <c r="H402" t="str">
        <f t="shared" si="66"/>
        <v/>
      </c>
      <c r="I402" t="str">
        <f t="shared" si="61"/>
        <v/>
      </c>
      <c r="J402" t="str">
        <f t="shared" si="67"/>
        <v/>
      </c>
      <c r="K402" t="str">
        <f t="shared" si="68"/>
        <v>Matchday 27</v>
      </c>
      <c r="L402" t="str">
        <f t="shared" si="69"/>
        <v/>
      </c>
    </row>
    <row r="403" spans="1:12" hidden="1">
      <c r="A403" t="str">
        <f>IF(Sheet1!A406="","",Sheet1!A406)</f>
        <v>Matchday 28</v>
      </c>
      <c r="C403" t="str">
        <f t="shared" si="62"/>
        <v/>
      </c>
      <c r="D403" t="str">
        <f t="shared" si="60"/>
        <v/>
      </c>
      <c r="E403" t="str">
        <f t="shared" si="63"/>
        <v/>
      </c>
      <c r="F403" t="str">
        <f t="shared" si="64"/>
        <v/>
      </c>
      <c r="G403" t="str">
        <f t="shared" si="65"/>
        <v/>
      </c>
      <c r="H403" t="str">
        <f t="shared" si="66"/>
        <v/>
      </c>
      <c r="I403" t="str">
        <f t="shared" si="61"/>
        <v/>
      </c>
      <c r="J403" t="str">
        <f t="shared" si="67"/>
        <v/>
      </c>
      <c r="K403" t="str">
        <f t="shared" si="68"/>
        <v>Matchday 27</v>
      </c>
      <c r="L403" t="str">
        <f t="shared" si="69"/>
        <v/>
      </c>
    </row>
    <row r="404" spans="1:12" hidden="1">
      <c r="A404" t="str">
        <f>IF(Sheet1!A407="","",Sheet1!A407)</f>
        <v>[Sat Mar/13]</v>
      </c>
      <c r="C404" t="str">
        <f t="shared" si="62"/>
        <v/>
      </c>
      <c r="D404" t="str">
        <f t="shared" si="60"/>
        <v/>
      </c>
      <c r="E404" t="str">
        <f t="shared" si="63"/>
        <v/>
      </c>
      <c r="F404" t="str">
        <f t="shared" si="64"/>
        <v/>
      </c>
      <c r="G404" t="str">
        <f t="shared" si="65"/>
        <v/>
      </c>
      <c r="H404" t="str">
        <f t="shared" si="66"/>
        <v/>
      </c>
      <c r="I404" t="str">
        <f t="shared" si="61"/>
        <v/>
      </c>
      <c r="J404" t="str">
        <f t="shared" si="67"/>
        <v/>
      </c>
      <c r="K404" t="str">
        <f t="shared" si="68"/>
        <v>Matchday 27</v>
      </c>
      <c r="L404" t="str">
        <f t="shared" si="69"/>
        <v/>
      </c>
    </row>
    <row r="405" spans="1:12">
      <c r="A405" t="str">
        <f>IF(Sheet1!A408="","",Sheet1!A408)</f>
        <v xml:space="preserve">  Arsenal FC               -  Tottenham Hotspur FC</v>
      </c>
      <c r="C405">
        <f t="shared" si="62"/>
        <v>11</v>
      </c>
      <c r="D405">
        <f t="shared" si="60"/>
        <v>28</v>
      </c>
      <c r="E405">
        <f t="shared" si="63"/>
        <v>49</v>
      </c>
      <c r="F405" t="str">
        <f t="shared" si="64"/>
        <v/>
      </c>
      <c r="G405" t="str">
        <f t="shared" si="65"/>
        <v xml:space="preserve">Arsenal FC </v>
      </c>
      <c r="H405" t="str">
        <f t="shared" si="66"/>
        <v xml:space="preserve"> - </v>
      </c>
      <c r="I405" t="str">
        <f t="shared" si="61"/>
        <v/>
      </c>
      <c r="J405" t="str">
        <f t="shared" si="67"/>
        <v>Tottenham Hotspur FC</v>
      </c>
      <c r="K405" t="str">
        <f t="shared" si="68"/>
        <v>Matchday 28</v>
      </c>
      <c r="L405" t="str">
        <f t="shared" si="69"/>
        <v>[Sat Mar/13]</v>
      </c>
    </row>
    <row r="406" spans="1:12">
      <c r="A406" t="str">
        <f>IF(Sheet1!A409="","",Sheet1!A409)</f>
        <v xml:space="preserve">  Crystal Palace FC        -  West Bromwich Albion FC</v>
      </c>
      <c r="C406">
        <f t="shared" si="62"/>
        <v>18</v>
      </c>
      <c r="D406">
        <f t="shared" si="60"/>
        <v>28</v>
      </c>
      <c r="E406">
        <f t="shared" si="63"/>
        <v>52</v>
      </c>
      <c r="F406" t="str">
        <f t="shared" si="64"/>
        <v/>
      </c>
      <c r="G406" t="str">
        <f t="shared" si="65"/>
        <v xml:space="preserve">Crystal Palace FC </v>
      </c>
      <c r="H406" t="str">
        <f t="shared" si="66"/>
        <v xml:space="preserve"> - </v>
      </c>
      <c r="I406" t="str">
        <f t="shared" si="61"/>
        <v/>
      </c>
      <c r="J406" t="str">
        <f t="shared" si="67"/>
        <v>West Bromwich Albion FC</v>
      </c>
      <c r="K406" t="str">
        <f t="shared" si="68"/>
        <v>Matchday 28</v>
      </c>
      <c r="L406" t="str">
        <f t="shared" si="69"/>
        <v>[Sat Mar/13]</v>
      </c>
    </row>
    <row r="407" spans="1:12">
      <c r="A407" t="str">
        <f>IF(Sheet1!A410="","",Sheet1!A410)</f>
        <v xml:space="preserve">  Everton FC               -  Burnley FC</v>
      </c>
      <c r="C407">
        <f t="shared" si="62"/>
        <v>11</v>
      </c>
      <c r="D407">
        <f t="shared" si="60"/>
        <v>28</v>
      </c>
      <c r="E407">
        <f t="shared" si="63"/>
        <v>39</v>
      </c>
      <c r="F407" t="str">
        <f t="shared" si="64"/>
        <v/>
      </c>
      <c r="G407" t="str">
        <f t="shared" si="65"/>
        <v xml:space="preserve">Everton FC </v>
      </c>
      <c r="H407" t="str">
        <f t="shared" si="66"/>
        <v xml:space="preserve"> - </v>
      </c>
      <c r="I407" t="str">
        <f t="shared" si="61"/>
        <v/>
      </c>
      <c r="J407" t="str">
        <f t="shared" si="67"/>
        <v>Burnley FC</v>
      </c>
      <c r="K407" t="str">
        <f t="shared" si="68"/>
        <v>Matchday 28</v>
      </c>
      <c r="L407" t="str">
        <f t="shared" si="69"/>
        <v>[Sat Mar/13]</v>
      </c>
    </row>
    <row r="408" spans="1:12">
      <c r="A408" t="str">
        <f>IF(Sheet1!A411="","",Sheet1!A411)</f>
        <v xml:space="preserve">  Fulham FC                -  Manchester City FC</v>
      </c>
      <c r="C408">
        <f t="shared" si="62"/>
        <v>10</v>
      </c>
      <c r="D408">
        <f t="shared" si="60"/>
        <v>28</v>
      </c>
      <c r="E408">
        <f t="shared" si="63"/>
        <v>47</v>
      </c>
      <c r="F408" t="str">
        <f t="shared" si="64"/>
        <v/>
      </c>
      <c r="G408" t="str">
        <f t="shared" si="65"/>
        <v xml:space="preserve">Fulham FC </v>
      </c>
      <c r="H408" t="str">
        <f t="shared" si="66"/>
        <v xml:space="preserve"> - </v>
      </c>
      <c r="I408" t="str">
        <f t="shared" si="61"/>
        <v/>
      </c>
      <c r="J408" t="str">
        <f t="shared" si="67"/>
        <v>Manchester City FC</v>
      </c>
      <c r="K408" t="str">
        <f t="shared" si="68"/>
        <v>Matchday 28</v>
      </c>
      <c r="L408" t="str">
        <f t="shared" si="69"/>
        <v>[Sat Mar/13]</v>
      </c>
    </row>
    <row r="409" spans="1:12">
      <c r="A409" t="str">
        <f>IF(Sheet1!A412="","",Sheet1!A412)</f>
        <v xml:space="preserve">  Leeds United FC          -  Chelsea FC</v>
      </c>
      <c r="C409">
        <f t="shared" si="62"/>
        <v>16</v>
      </c>
      <c r="D409">
        <f t="shared" si="60"/>
        <v>28</v>
      </c>
      <c r="E409">
        <f t="shared" si="63"/>
        <v>39</v>
      </c>
      <c r="F409" t="str">
        <f t="shared" si="64"/>
        <v/>
      </c>
      <c r="G409" t="str">
        <f t="shared" si="65"/>
        <v xml:space="preserve">Leeds United FC </v>
      </c>
      <c r="H409" t="str">
        <f t="shared" si="66"/>
        <v xml:space="preserve"> - </v>
      </c>
      <c r="I409" t="str">
        <f t="shared" si="61"/>
        <v/>
      </c>
      <c r="J409" t="str">
        <f t="shared" si="67"/>
        <v>Chelsea FC</v>
      </c>
      <c r="K409" t="str">
        <f t="shared" si="68"/>
        <v>Matchday 28</v>
      </c>
      <c r="L409" t="str">
        <f t="shared" si="69"/>
        <v>[Sat Mar/13]</v>
      </c>
    </row>
    <row r="410" spans="1:12">
      <c r="A410" t="str">
        <f>IF(Sheet1!A413="","",Sheet1!A413)</f>
        <v xml:space="preserve">  Leicester City FC        -  Sheffield United FC</v>
      </c>
      <c r="C410">
        <f t="shared" si="62"/>
        <v>18</v>
      </c>
      <c r="D410">
        <f t="shared" si="60"/>
        <v>28</v>
      </c>
      <c r="E410">
        <f t="shared" si="63"/>
        <v>48</v>
      </c>
      <c r="F410" t="str">
        <f t="shared" si="64"/>
        <v/>
      </c>
      <c r="G410" t="str">
        <f t="shared" si="65"/>
        <v xml:space="preserve">Leicester City FC </v>
      </c>
      <c r="H410" t="str">
        <f t="shared" si="66"/>
        <v xml:space="preserve"> - </v>
      </c>
      <c r="I410" t="str">
        <f t="shared" si="61"/>
        <v/>
      </c>
      <c r="J410" t="str">
        <f t="shared" si="67"/>
        <v>Sheffield United FC</v>
      </c>
      <c r="K410" t="str">
        <f t="shared" si="68"/>
        <v>Matchday 28</v>
      </c>
      <c r="L410" t="str">
        <f t="shared" si="69"/>
        <v>[Sat Mar/13]</v>
      </c>
    </row>
    <row r="411" spans="1:12">
      <c r="A411" t="str">
        <f>IF(Sheet1!A414="","",Sheet1!A414)</f>
        <v xml:space="preserve">  Manchester United        -  West Ham United FC</v>
      </c>
      <c r="C411">
        <f t="shared" si="62"/>
        <v>21</v>
      </c>
      <c r="D411">
        <f t="shared" si="60"/>
        <v>28</v>
      </c>
      <c r="E411">
        <f t="shared" si="63"/>
        <v>50</v>
      </c>
      <c r="F411" t="str">
        <f t="shared" si="64"/>
        <v/>
      </c>
      <c r="G411" t="str">
        <f t="shared" si="65"/>
        <v xml:space="preserve">Manchester United    </v>
      </c>
      <c r="H411" t="str">
        <f t="shared" si="66"/>
        <v xml:space="preserve"> - </v>
      </c>
      <c r="I411" t="str">
        <f t="shared" si="61"/>
        <v/>
      </c>
      <c r="J411" t="str">
        <f t="shared" si="67"/>
        <v>West Ham United FC</v>
      </c>
      <c r="K411" t="str">
        <f t="shared" si="68"/>
        <v>Matchday 28</v>
      </c>
      <c r="L411" t="str">
        <f t="shared" si="69"/>
        <v>[Sat Mar/13]</v>
      </c>
    </row>
    <row r="412" spans="1:12">
      <c r="A412" t="str">
        <f>IF(Sheet1!A415="","",Sheet1!A415)</f>
        <v xml:space="preserve">  Newcastle United FC      -  Aston Villa FC</v>
      </c>
      <c r="C412">
        <f t="shared" si="62"/>
        <v>20</v>
      </c>
      <c r="D412">
        <f t="shared" si="60"/>
        <v>28</v>
      </c>
      <c r="E412">
        <f t="shared" si="63"/>
        <v>43</v>
      </c>
      <c r="F412" t="str">
        <f t="shared" si="64"/>
        <v/>
      </c>
      <c r="G412" t="str">
        <f t="shared" si="65"/>
        <v xml:space="preserve">Newcastle United FC </v>
      </c>
      <c r="H412" t="str">
        <f t="shared" si="66"/>
        <v xml:space="preserve"> - </v>
      </c>
      <c r="I412" t="str">
        <f t="shared" si="61"/>
        <v/>
      </c>
      <c r="J412" t="str">
        <f t="shared" si="67"/>
        <v>Aston Villa FC</v>
      </c>
      <c r="K412" t="str">
        <f t="shared" si="68"/>
        <v>Matchday 28</v>
      </c>
      <c r="L412" t="str">
        <f t="shared" si="69"/>
        <v>[Sat Mar/13]</v>
      </c>
    </row>
    <row r="413" spans="1:12">
      <c r="A413" t="str">
        <f>IF(Sheet1!A416="","",Sheet1!A416)</f>
        <v xml:space="preserve">  Southampton FC           -  Brighton &amp; Hove Albion FC</v>
      </c>
      <c r="C413">
        <f t="shared" si="62"/>
        <v>15</v>
      </c>
      <c r="D413">
        <f t="shared" si="60"/>
        <v>28</v>
      </c>
      <c r="E413">
        <f t="shared" si="63"/>
        <v>54</v>
      </c>
      <c r="F413" t="str">
        <f t="shared" si="64"/>
        <v/>
      </c>
      <c r="G413" t="str">
        <f t="shared" si="65"/>
        <v xml:space="preserve">Southampton FC </v>
      </c>
      <c r="H413" t="str">
        <f t="shared" si="66"/>
        <v xml:space="preserve"> - </v>
      </c>
      <c r="I413" t="str">
        <f t="shared" si="61"/>
        <v/>
      </c>
      <c r="J413" t="str">
        <f t="shared" si="67"/>
        <v>Brighton &amp; Hove Albion FC</v>
      </c>
      <c r="K413" t="str">
        <f t="shared" si="68"/>
        <v>Matchday 28</v>
      </c>
      <c r="L413" t="str">
        <f t="shared" si="69"/>
        <v>[Sat Mar/13]</v>
      </c>
    </row>
    <row r="414" spans="1:12">
      <c r="A414" t="str">
        <f>IF(Sheet1!A417="","",Sheet1!A417)</f>
        <v xml:space="preserve">  Wolverhampton Wanderers FC  -  Liverpool FC</v>
      </c>
      <c r="C414">
        <f t="shared" si="62"/>
        <v>27</v>
      </c>
      <c r="D414">
        <f t="shared" si="60"/>
        <v>31</v>
      </c>
      <c r="E414">
        <f t="shared" si="63"/>
        <v>44</v>
      </c>
      <c r="F414" t="str">
        <f t="shared" si="64"/>
        <v/>
      </c>
      <c r="G414" t="str">
        <f t="shared" si="65"/>
        <v xml:space="preserve">Wolverhampton Wanderers FC </v>
      </c>
      <c r="H414" t="str">
        <f t="shared" si="66"/>
        <v xml:space="preserve"> - </v>
      </c>
      <c r="I414" t="str">
        <f t="shared" si="61"/>
        <v/>
      </c>
      <c r="J414" t="str">
        <f t="shared" si="67"/>
        <v>Liverpool FC</v>
      </c>
      <c r="K414" t="str">
        <f t="shared" si="68"/>
        <v>Matchday 28</v>
      </c>
      <c r="L414" t="str">
        <f t="shared" si="69"/>
        <v>[Sat Mar/13]</v>
      </c>
    </row>
    <row r="415" spans="1:12" hidden="1">
      <c r="A415" t="str">
        <f>IF(Sheet1!A418="","",Sheet1!A418)</f>
        <v/>
      </c>
      <c r="C415" t="str">
        <f t="shared" si="62"/>
        <v/>
      </c>
      <c r="D415" t="str">
        <f t="shared" si="60"/>
        <v/>
      </c>
      <c r="E415" t="str">
        <f t="shared" si="63"/>
        <v/>
      </c>
      <c r="F415" t="str">
        <f t="shared" si="64"/>
        <v/>
      </c>
      <c r="G415" t="str">
        <f t="shared" si="65"/>
        <v/>
      </c>
      <c r="H415" t="str">
        <f t="shared" si="66"/>
        <v/>
      </c>
      <c r="I415" t="str">
        <f t="shared" si="61"/>
        <v/>
      </c>
      <c r="J415" t="str">
        <f t="shared" si="67"/>
        <v/>
      </c>
      <c r="K415" t="str">
        <f t="shared" si="68"/>
        <v>Matchday 28</v>
      </c>
      <c r="L415" t="str">
        <f t="shared" si="69"/>
        <v/>
      </c>
    </row>
    <row r="416" spans="1:12" hidden="1">
      <c r="A416" t="str">
        <f>IF(Sheet1!A419="","",Sheet1!A419)</f>
        <v/>
      </c>
      <c r="C416" t="str">
        <f t="shared" si="62"/>
        <v/>
      </c>
      <c r="D416" t="str">
        <f t="shared" si="60"/>
        <v/>
      </c>
      <c r="E416" t="str">
        <f t="shared" si="63"/>
        <v/>
      </c>
      <c r="F416" t="str">
        <f t="shared" si="64"/>
        <v/>
      </c>
      <c r="G416" t="str">
        <f t="shared" si="65"/>
        <v/>
      </c>
      <c r="H416" t="str">
        <f t="shared" si="66"/>
        <v/>
      </c>
      <c r="I416" t="str">
        <f t="shared" si="61"/>
        <v/>
      </c>
      <c r="J416" t="str">
        <f t="shared" si="67"/>
        <v/>
      </c>
      <c r="K416" t="str">
        <f t="shared" si="68"/>
        <v>Matchday 28</v>
      </c>
      <c r="L416" t="str">
        <f t="shared" si="69"/>
        <v/>
      </c>
    </row>
    <row r="417" spans="1:12" hidden="1">
      <c r="A417" t="str">
        <f>IF(Sheet1!A420="","",Sheet1!A420)</f>
        <v>Matchday 29</v>
      </c>
      <c r="C417" t="str">
        <f t="shared" si="62"/>
        <v/>
      </c>
      <c r="D417" t="str">
        <f t="shared" si="60"/>
        <v/>
      </c>
      <c r="E417" t="str">
        <f t="shared" si="63"/>
        <v/>
      </c>
      <c r="F417" t="str">
        <f t="shared" si="64"/>
        <v/>
      </c>
      <c r="G417" t="str">
        <f t="shared" si="65"/>
        <v/>
      </c>
      <c r="H417" t="str">
        <f t="shared" si="66"/>
        <v/>
      </c>
      <c r="I417" t="str">
        <f t="shared" si="61"/>
        <v/>
      </c>
      <c r="J417" t="str">
        <f t="shared" si="67"/>
        <v/>
      </c>
      <c r="K417" t="str">
        <f t="shared" si="68"/>
        <v>Matchday 28</v>
      </c>
      <c r="L417" t="str">
        <f t="shared" si="69"/>
        <v/>
      </c>
    </row>
    <row r="418" spans="1:12" hidden="1">
      <c r="A418" t="str">
        <f>IF(Sheet1!A421="","",Sheet1!A421)</f>
        <v>[Sat Mar/20]</v>
      </c>
      <c r="C418" t="str">
        <f t="shared" si="62"/>
        <v/>
      </c>
      <c r="D418" t="str">
        <f t="shared" si="60"/>
        <v/>
      </c>
      <c r="E418" t="str">
        <f t="shared" si="63"/>
        <v/>
      </c>
      <c r="F418" t="str">
        <f t="shared" si="64"/>
        <v/>
      </c>
      <c r="G418" t="str">
        <f t="shared" si="65"/>
        <v/>
      </c>
      <c r="H418" t="str">
        <f t="shared" si="66"/>
        <v/>
      </c>
      <c r="I418" t="str">
        <f t="shared" si="61"/>
        <v/>
      </c>
      <c r="J418" t="str">
        <f t="shared" si="67"/>
        <v/>
      </c>
      <c r="K418" t="str">
        <f t="shared" si="68"/>
        <v>Matchday 28</v>
      </c>
      <c r="L418" t="str">
        <f t="shared" si="69"/>
        <v/>
      </c>
    </row>
    <row r="419" spans="1:12">
      <c r="A419" t="str">
        <f>IF(Sheet1!A422="","",Sheet1!A422)</f>
        <v xml:space="preserve">  Brighton &amp; Hove Albion FC  -  Newcastle United FC</v>
      </c>
      <c r="C419">
        <f t="shared" si="62"/>
        <v>26</v>
      </c>
      <c r="D419">
        <f t="shared" si="60"/>
        <v>30</v>
      </c>
      <c r="E419">
        <f t="shared" si="63"/>
        <v>50</v>
      </c>
      <c r="F419" t="str">
        <f t="shared" si="64"/>
        <v/>
      </c>
      <c r="G419" t="str">
        <f t="shared" si="65"/>
        <v xml:space="preserve">Brighton &amp; Hove Albion FC </v>
      </c>
      <c r="H419" t="str">
        <f t="shared" si="66"/>
        <v xml:space="preserve"> - </v>
      </c>
      <c r="I419" t="str">
        <f t="shared" si="61"/>
        <v/>
      </c>
      <c r="J419" t="str">
        <f t="shared" si="67"/>
        <v>Newcastle United FC</v>
      </c>
      <c r="K419" t="str">
        <f t="shared" si="68"/>
        <v>Matchday 29</v>
      </c>
      <c r="L419" t="str">
        <f t="shared" si="69"/>
        <v>[Sat Mar/20]</v>
      </c>
    </row>
    <row r="420" spans="1:12">
      <c r="A420" t="str">
        <f>IF(Sheet1!A423="","",Sheet1!A423)</f>
        <v xml:space="preserve">  Burnley FC               -  Leicester City FC</v>
      </c>
      <c r="C420">
        <f t="shared" si="62"/>
        <v>11</v>
      </c>
      <c r="D420">
        <f t="shared" si="60"/>
        <v>28</v>
      </c>
      <c r="E420">
        <f t="shared" si="63"/>
        <v>46</v>
      </c>
      <c r="F420" t="str">
        <f t="shared" si="64"/>
        <v/>
      </c>
      <c r="G420" t="str">
        <f t="shared" si="65"/>
        <v xml:space="preserve">Burnley FC </v>
      </c>
      <c r="H420" t="str">
        <f t="shared" si="66"/>
        <v xml:space="preserve"> - </v>
      </c>
      <c r="I420" t="str">
        <f t="shared" si="61"/>
        <v/>
      </c>
      <c r="J420" t="str">
        <f t="shared" si="67"/>
        <v>Leicester City FC</v>
      </c>
      <c r="K420" t="str">
        <f t="shared" si="68"/>
        <v>Matchday 29</v>
      </c>
      <c r="L420" t="str">
        <f t="shared" si="69"/>
        <v>[Sat Mar/20]</v>
      </c>
    </row>
    <row r="421" spans="1:12">
      <c r="A421" t="str">
        <f>IF(Sheet1!A424="","",Sheet1!A424)</f>
        <v xml:space="preserve">  Crystal Palace FC        -  Manchester United</v>
      </c>
      <c r="C421">
        <f t="shared" si="62"/>
        <v>18</v>
      </c>
      <c r="D421">
        <f t="shared" si="60"/>
        <v>28</v>
      </c>
      <c r="E421">
        <f t="shared" si="63"/>
        <v>49</v>
      </c>
      <c r="F421" t="str">
        <f t="shared" si="64"/>
        <v/>
      </c>
      <c r="G421" t="str">
        <f t="shared" si="65"/>
        <v xml:space="preserve">Crystal Palace FC </v>
      </c>
      <c r="H421" t="str">
        <f t="shared" si="66"/>
        <v xml:space="preserve"> - </v>
      </c>
      <c r="I421" t="str">
        <f t="shared" si="61"/>
        <v/>
      </c>
      <c r="J421" t="str">
        <f t="shared" si="67"/>
        <v>Manchester United</v>
      </c>
      <c r="K421" t="str">
        <f t="shared" si="68"/>
        <v>Matchday 29</v>
      </c>
      <c r="L421" t="str">
        <f t="shared" si="69"/>
        <v>[Sat Mar/20]</v>
      </c>
    </row>
    <row r="422" spans="1:12">
      <c r="A422" t="str">
        <f>IF(Sheet1!A425="","",Sheet1!A425)</f>
        <v xml:space="preserve">  Fulham FC                -  Leeds United FC</v>
      </c>
      <c r="C422">
        <f t="shared" si="62"/>
        <v>10</v>
      </c>
      <c r="D422">
        <f t="shared" si="60"/>
        <v>28</v>
      </c>
      <c r="E422">
        <f t="shared" si="63"/>
        <v>44</v>
      </c>
      <c r="F422" t="str">
        <f t="shared" si="64"/>
        <v/>
      </c>
      <c r="G422" t="str">
        <f t="shared" si="65"/>
        <v xml:space="preserve">Fulham FC </v>
      </c>
      <c r="H422" t="str">
        <f t="shared" si="66"/>
        <v xml:space="preserve"> - </v>
      </c>
      <c r="I422" t="str">
        <f t="shared" si="61"/>
        <v/>
      </c>
      <c r="J422" t="str">
        <f t="shared" si="67"/>
        <v>Leeds United FC</v>
      </c>
      <c r="K422" t="str">
        <f t="shared" si="68"/>
        <v>Matchday 29</v>
      </c>
      <c r="L422" t="str">
        <f t="shared" si="69"/>
        <v>[Sat Mar/20]</v>
      </c>
    </row>
    <row r="423" spans="1:12">
      <c r="A423" t="str">
        <f>IF(Sheet1!A426="","",Sheet1!A426)</f>
        <v xml:space="preserve">  Liverpool FC             -  Chelsea FC</v>
      </c>
      <c r="C423">
        <f t="shared" si="62"/>
        <v>13</v>
      </c>
      <c r="D423">
        <f t="shared" si="60"/>
        <v>28</v>
      </c>
      <c r="E423">
        <f t="shared" si="63"/>
        <v>39</v>
      </c>
      <c r="F423" t="str">
        <f t="shared" si="64"/>
        <v/>
      </c>
      <c r="G423" t="str">
        <f t="shared" si="65"/>
        <v xml:space="preserve">Liverpool FC </v>
      </c>
      <c r="H423" t="str">
        <f t="shared" si="66"/>
        <v xml:space="preserve"> - </v>
      </c>
      <c r="I423" t="str">
        <f t="shared" si="61"/>
        <v/>
      </c>
      <c r="J423" t="str">
        <f t="shared" si="67"/>
        <v>Chelsea FC</v>
      </c>
      <c r="K423" t="str">
        <f t="shared" si="68"/>
        <v>Matchday 29</v>
      </c>
      <c r="L423" t="str">
        <f t="shared" si="69"/>
        <v>[Sat Mar/20]</v>
      </c>
    </row>
    <row r="424" spans="1:12">
      <c r="A424" t="str">
        <f>IF(Sheet1!A427="","",Sheet1!A427)</f>
        <v xml:space="preserve">  Manchester City FC       -  Wolverhampton Wanderers FC</v>
      </c>
      <c r="C424">
        <f t="shared" si="62"/>
        <v>19</v>
      </c>
      <c r="D424">
        <f t="shared" si="60"/>
        <v>28</v>
      </c>
      <c r="E424">
        <f t="shared" si="63"/>
        <v>55</v>
      </c>
      <c r="F424" t="str">
        <f t="shared" si="64"/>
        <v/>
      </c>
      <c r="G424" t="str">
        <f t="shared" si="65"/>
        <v xml:space="preserve">Manchester City FC </v>
      </c>
      <c r="H424" t="str">
        <f t="shared" si="66"/>
        <v xml:space="preserve"> - </v>
      </c>
      <c r="I424" t="str">
        <f t="shared" si="61"/>
        <v/>
      </c>
      <c r="J424" t="str">
        <f t="shared" si="67"/>
        <v>Wolverhampton Wanderers FC</v>
      </c>
      <c r="K424" t="str">
        <f t="shared" si="68"/>
        <v>Matchday 29</v>
      </c>
      <c r="L424" t="str">
        <f t="shared" si="69"/>
        <v>[Sat Mar/20]</v>
      </c>
    </row>
    <row r="425" spans="1:12">
      <c r="A425" t="str">
        <f>IF(Sheet1!A428="","",Sheet1!A428)</f>
        <v xml:space="preserve">  Sheffield United FC      -  Aston Villa FC</v>
      </c>
      <c r="C425">
        <f t="shared" si="62"/>
        <v>20</v>
      </c>
      <c r="D425">
        <f t="shared" si="60"/>
        <v>28</v>
      </c>
      <c r="E425">
        <f t="shared" si="63"/>
        <v>43</v>
      </c>
      <c r="F425" t="str">
        <f t="shared" si="64"/>
        <v/>
      </c>
      <c r="G425" t="str">
        <f t="shared" si="65"/>
        <v xml:space="preserve">Sheffield United FC </v>
      </c>
      <c r="H425" t="str">
        <f t="shared" si="66"/>
        <v xml:space="preserve"> - </v>
      </c>
      <c r="I425" t="str">
        <f t="shared" si="61"/>
        <v/>
      </c>
      <c r="J425" t="str">
        <f t="shared" si="67"/>
        <v>Aston Villa FC</v>
      </c>
      <c r="K425" t="str">
        <f t="shared" si="68"/>
        <v>Matchday 29</v>
      </c>
      <c r="L425" t="str">
        <f t="shared" si="69"/>
        <v>[Sat Mar/20]</v>
      </c>
    </row>
    <row r="426" spans="1:12">
      <c r="A426" t="str">
        <f>IF(Sheet1!A429="","",Sheet1!A429)</f>
        <v xml:space="preserve">  Tottenham Hotspur FC     -  Southampton FC</v>
      </c>
      <c r="C426">
        <f t="shared" si="62"/>
        <v>21</v>
      </c>
      <c r="D426">
        <f t="shared" si="60"/>
        <v>28</v>
      </c>
      <c r="E426">
        <f t="shared" si="63"/>
        <v>43</v>
      </c>
      <c r="F426" t="str">
        <f t="shared" si="64"/>
        <v/>
      </c>
      <c r="G426" t="str">
        <f t="shared" si="65"/>
        <v xml:space="preserve">Tottenham Hotspur FC </v>
      </c>
      <c r="H426" t="str">
        <f t="shared" si="66"/>
        <v xml:space="preserve"> - </v>
      </c>
      <c r="I426" t="str">
        <f t="shared" si="61"/>
        <v/>
      </c>
      <c r="J426" t="str">
        <f t="shared" si="67"/>
        <v>Southampton FC</v>
      </c>
      <c r="K426" t="str">
        <f t="shared" si="68"/>
        <v>Matchday 29</v>
      </c>
      <c r="L426" t="str">
        <f t="shared" si="69"/>
        <v>[Sat Mar/20]</v>
      </c>
    </row>
    <row r="427" spans="1:12">
      <c r="A427" t="str">
        <f>IF(Sheet1!A430="","",Sheet1!A430)</f>
        <v xml:space="preserve">  West Bromwich Albion FC  -  Everton FC</v>
      </c>
      <c r="C427">
        <f t="shared" si="62"/>
        <v>24</v>
      </c>
      <c r="D427">
        <f t="shared" si="60"/>
        <v>28</v>
      </c>
      <c r="E427">
        <f t="shared" si="63"/>
        <v>39</v>
      </c>
      <c r="F427" t="str">
        <f t="shared" si="64"/>
        <v/>
      </c>
      <c r="G427" t="str">
        <f t="shared" si="65"/>
        <v xml:space="preserve">West Bromwich Albion FC </v>
      </c>
      <c r="H427" t="str">
        <f t="shared" si="66"/>
        <v xml:space="preserve"> - </v>
      </c>
      <c r="I427" t="str">
        <f t="shared" si="61"/>
        <v/>
      </c>
      <c r="J427" t="str">
        <f t="shared" si="67"/>
        <v>Everton FC</v>
      </c>
      <c r="K427" t="str">
        <f t="shared" si="68"/>
        <v>Matchday 29</v>
      </c>
      <c r="L427" t="str">
        <f t="shared" si="69"/>
        <v>[Sat Mar/20]</v>
      </c>
    </row>
    <row r="428" spans="1:12">
      <c r="A428" t="str">
        <f>IF(Sheet1!A431="","",Sheet1!A431)</f>
        <v xml:space="preserve">  West Ham United FC       -  Arsenal FC</v>
      </c>
      <c r="C428">
        <f t="shared" si="62"/>
        <v>19</v>
      </c>
      <c r="D428">
        <f t="shared" si="60"/>
        <v>28</v>
      </c>
      <c r="E428">
        <f t="shared" si="63"/>
        <v>39</v>
      </c>
      <c r="F428" t="str">
        <f t="shared" si="64"/>
        <v/>
      </c>
      <c r="G428" t="str">
        <f t="shared" si="65"/>
        <v xml:space="preserve">West Ham United FC </v>
      </c>
      <c r="H428" t="str">
        <f t="shared" si="66"/>
        <v xml:space="preserve"> - </v>
      </c>
      <c r="I428" t="str">
        <f t="shared" si="61"/>
        <v/>
      </c>
      <c r="J428" t="str">
        <f t="shared" si="67"/>
        <v>Arsenal FC</v>
      </c>
      <c r="K428" t="str">
        <f t="shared" si="68"/>
        <v>Matchday 29</v>
      </c>
      <c r="L428" t="str">
        <f t="shared" si="69"/>
        <v>[Sat Mar/20]</v>
      </c>
    </row>
    <row r="429" spans="1:12" hidden="1">
      <c r="A429" t="str">
        <f>IF(Sheet1!A432="","",Sheet1!A432)</f>
        <v/>
      </c>
      <c r="C429" t="str">
        <f t="shared" si="62"/>
        <v/>
      </c>
      <c r="D429" t="str">
        <f t="shared" si="60"/>
        <v/>
      </c>
      <c r="E429" t="str">
        <f t="shared" si="63"/>
        <v/>
      </c>
      <c r="F429" t="str">
        <f t="shared" si="64"/>
        <v/>
      </c>
      <c r="G429" t="str">
        <f t="shared" si="65"/>
        <v/>
      </c>
      <c r="H429" t="str">
        <f t="shared" si="66"/>
        <v/>
      </c>
      <c r="I429" t="str">
        <f t="shared" si="61"/>
        <v/>
      </c>
      <c r="J429" t="str">
        <f t="shared" si="67"/>
        <v/>
      </c>
      <c r="K429" t="str">
        <f t="shared" si="68"/>
        <v>Matchday 29</v>
      </c>
      <c r="L429" t="str">
        <f t="shared" si="69"/>
        <v/>
      </c>
    </row>
    <row r="430" spans="1:12" hidden="1">
      <c r="A430" t="str">
        <f>IF(Sheet1!A433="","",Sheet1!A433)</f>
        <v/>
      </c>
      <c r="C430" t="str">
        <f t="shared" si="62"/>
        <v/>
      </c>
      <c r="D430" t="str">
        <f t="shared" si="60"/>
        <v/>
      </c>
      <c r="E430" t="str">
        <f t="shared" si="63"/>
        <v/>
      </c>
      <c r="F430" t="str">
        <f t="shared" si="64"/>
        <v/>
      </c>
      <c r="G430" t="str">
        <f t="shared" si="65"/>
        <v/>
      </c>
      <c r="H430" t="str">
        <f t="shared" si="66"/>
        <v/>
      </c>
      <c r="I430" t="str">
        <f t="shared" si="61"/>
        <v/>
      </c>
      <c r="J430" t="str">
        <f t="shared" si="67"/>
        <v/>
      </c>
      <c r="K430" t="str">
        <f t="shared" si="68"/>
        <v>Matchday 29</v>
      </c>
      <c r="L430" t="str">
        <f t="shared" si="69"/>
        <v/>
      </c>
    </row>
    <row r="431" spans="1:12" hidden="1">
      <c r="A431" t="str">
        <f>IF(Sheet1!A434="","",Sheet1!A434)</f>
        <v>Matchday 30</v>
      </c>
      <c r="C431" t="str">
        <f t="shared" si="62"/>
        <v/>
      </c>
      <c r="D431" t="str">
        <f t="shared" si="60"/>
        <v/>
      </c>
      <c r="E431" t="str">
        <f t="shared" si="63"/>
        <v/>
      </c>
      <c r="F431" t="str">
        <f t="shared" si="64"/>
        <v/>
      </c>
      <c r="G431" t="str">
        <f t="shared" si="65"/>
        <v/>
      </c>
      <c r="H431" t="str">
        <f t="shared" si="66"/>
        <v/>
      </c>
      <c r="I431" t="str">
        <f t="shared" si="61"/>
        <v/>
      </c>
      <c r="J431" t="str">
        <f t="shared" si="67"/>
        <v/>
      </c>
      <c r="K431" t="str">
        <f t="shared" si="68"/>
        <v>Matchday 29</v>
      </c>
      <c r="L431" t="str">
        <f t="shared" si="69"/>
        <v/>
      </c>
    </row>
    <row r="432" spans="1:12" hidden="1">
      <c r="A432" t="str">
        <f>IF(Sheet1!A435="","",Sheet1!A435)</f>
        <v>[Sat Apr/3]</v>
      </c>
      <c r="C432" t="str">
        <f t="shared" si="62"/>
        <v/>
      </c>
      <c r="D432" t="str">
        <f t="shared" si="60"/>
        <v/>
      </c>
      <c r="E432" t="str">
        <f t="shared" si="63"/>
        <v/>
      </c>
      <c r="F432" t="str">
        <f t="shared" si="64"/>
        <v/>
      </c>
      <c r="G432" t="str">
        <f t="shared" si="65"/>
        <v/>
      </c>
      <c r="H432" t="str">
        <f t="shared" si="66"/>
        <v/>
      </c>
      <c r="I432" t="str">
        <f t="shared" si="61"/>
        <v/>
      </c>
      <c r="J432" t="str">
        <f t="shared" si="67"/>
        <v/>
      </c>
      <c r="K432" t="str">
        <f t="shared" si="68"/>
        <v>Matchday 29</v>
      </c>
      <c r="L432" t="str">
        <f t="shared" si="69"/>
        <v/>
      </c>
    </row>
    <row r="433" spans="1:12">
      <c r="A433" t="str">
        <f>IF(Sheet1!A436="","",Sheet1!A436)</f>
        <v xml:space="preserve">  Arsenal FC               -  Liverpool FC</v>
      </c>
      <c r="C433">
        <f t="shared" si="62"/>
        <v>11</v>
      </c>
      <c r="D433">
        <f t="shared" si="60"/>
        <v>28</v>
      </c>
      <c r="E433">
        <f t="shared" si="63"/>
        <v>41</v>
      </c>
      <c r="F433" t="str">
        <f t="shared" si="64"/>
        <v/>
      </c>
      <c r="G433" t="str">
        <f t="shared" si="65"/>
        <v xml:space="preserve">Arsenal FC </v>
      </c>
      <c r="H433" t="str">
        <f t="shared" si="66"/>
        <v xml:space="preserve"> - </v>
      </c>
      <c r="I433" t="str">
        <f t="shared" si="61"/>
        <v/>
      </c>
      <c r="J433" t="str">
        <f t="shared" si="67"/>
        <v>Liverpool FC</v>
      </c>
      <c r="K433" t="str">
        <f t="shared" si="68"/>
        <v>Matchday 30</v>
      </c>
      <c r="L433" t="str">
        <f t="shared" si="69"/>
        <v>[Sat Apr/3]</v>
      </c>
    </row>
    <row r="434" spans="1:12">
      <c r="A434" t="str">
        <f>IF(Sheet1!A437="","",Sheet1!A437)</f>
        <v xml:space="preserve">  Aston Villa FC           -  Fulham FC</v>
      </c>
      <c r="C434">
        <f t="shared" si="62"/>
        <v>15</v>
      </c>
      <c r="D434">
        <f t="shared" si="60"/>
        <v>28</v>
      </c>
      <c r="E434">
        <f t="shared" si="63"/>
        <v>38</v>
      </c>
      <c r="F434" t="str">
        <f t="shared" si="64"/>
        <v/>
      </c>
      <c r="G434" t="str">
        <f t="shared" si="65"/>
        <v xml:space="preserve">Aston Villa FC </v>
      </c>
      <c r="H434" t="str">
        <f t="shared" si="66"/>
        <v xml:space="preserve"> - </v>
      </c>
      <c r="I434" t="str">
        <f t="shared" si="61"/>
        <v/>
      </c>
      <c r="J434" t="str">
        <f t="shared" si="67"/>
        <v>Fulham FC</v>
      </c>
      <c r="K434" t="str">
        <f t="shared" si="68"/>
        <v>Matchday 30</v>
      </c>
      <c r="L434" t="str">
        <f t="shared" si="69"/>
        <v>[Sat Apr/3]</v>
      </c>
    </row>
    <row r="435" spans="1:12">
      <c r="A435" t="str">
        <f>IF(Sheet1!A438="","",Sheet1!A438)</f>
        <v xml:space="preserve">  Chelsea FC               -  West Bromwich Albion FC</v>
      </c>
      <c r="C435">
        <f t="shared" si="62"/>
        <v>11</v>
      </c>
      <c r="D435">
        <f t="shared" si="60"/>
        <v>28</v>
      </c>
      <c r="E435">
        <f t="shared" si="63"/>
        <v>52</v>
      </c>
      <c r="F435" t="str">
        <f t="shared" si="64"/>
        <v/>
      </c>
      <c r="G435" t="str">
        <f t="shared" si="65"/>
        <v xml:space="preserve">Chelsea FC </v>
      </c>
      <c r="H435" t="str">
        <f t="shared" si="66"/>
        <v xml:space="preserve"> - </v>
      </c>
      <c r="I435" t="str">
        <f t="shared" si="61"/>
        <v/>
      </c>
      <c r="J435" t="str">
        <f t="shared" si="67"/>
        <v>West Bromwich Albion FC</v>
      </c>
      <c r="K435" t="str">
        <f t="shared" si="68"/>
        <v>Matchday 30</v>
      </c>
      <c r="L435" t="str">
        <f t="shared" si="69"/>
        <v>[Sat Apr/3]</v>
      </c>
    </row>
    <row r="436" spans="1:12">
      <c r="A436" t="str">
        <f>IF(Sheet1!A439="","",Sheet1!A439)</f>
        <v xml:space="preserve">  Everton FC               -  Crystal Palace FC</v>
      </c>
      <c r="C436">
        <f t="shared" si="62"/>
        <v>11</v>
      </c>
      <c r="D436">
        <f t="shared" si="60"/>
        <v>28</v>
      </c>
      <c r="E436">
        <f t="shared" si="63"/>
        <v>46</v>
      </c>
      <c r="F436" t="str">
        <f t="shared" si="64"/>
        <v/>
      </c>
      <c r="G436" t="str">
        <f t="shared" si="65"/>
        <v xml:space="preserve">Everton FC </v>
      </c>
      <c r="H436" t="str">
        <f t="shared" si="66"/>
        <v xml:space="preserve"> - </v>
      </c>
      <c r="I436" t="str">
        <f t="shared" si="61"/>
        <v/>
      </c>
      <c r="J436" t="str">
        <f t="shared" si="67"/>
        <v>Crystal Palace FC</v>
      </c>
      <c r="K436" t="str">
        <f t="shared" si="68"/>
        <v>Matchday 30</v>
      </c>
      <c r="L436" t="str">
        <f t="shared" si="69"/>
        <v>[Sat Apr/3]</v>
      </c>
    </row>
    <row r="437" spans="1:12">
      <c r="A437" t="str">
        <f>IF(Sheet1!A440="","",Sheet1!A440)</f>
        <v xml:space="preserve">  Leeds United FC          -  Sheffield United FC</v>
      </c>
      <c r="C437">
        <f t="shared" si="62"/>
        <v>16</v>
      </c>
      <c r="D437">
        <f t="shared" si="60"/>
        <v>28</v>
      </c>
      <c r="E437">
        <f t="shared" si="63"/>
        <v>48</v>
      </c>
      <c r="F437" t="str">
        <f t="shared" si="64"/>
        <v/>
      </c>
      <c r="G437" t="str">
        <f t="shared" si="65"/>
        <v xml:space="preserve">Leeds United FC </v>
      </c>
      <c r="H437" t="str">
        <f t="shared" si="66"/>
        <v xml:space="preserve"> - </v>
      </c>
      <c r="I437" t="str">
        <f t="shared" si="61"/>
        <v/>
      </c>
      <c r="J437" t="str">
        <f t="shared" si="67"/>
        <v>Sheffield United FC</v>
      </c>
      <c r="K437" t="str">
        <f t="shared" si="68"/>
        <v>Matchday 30</v>
      </c>
      <c r="L437" t="str">
        <f t="shared" si="69"/>
        <v>[Sat Apr/3]</v>
      </c>
    </row>
    <row r="438" spans="1:12">
      <c r="A438" t="str">
        <f>IF(Sheet1!A441="","",Sheet1!A441)</f>
        <v xml:space="preserve">  Leicester City FC        -  Manchester City FC</v>
      </c>
      <c r="C438">
        <f t="shared" si="62"/>
        <v>18</v>
      </c>
      <c r="D438">
        <f t="shared" si="60"/>
        <v>28</v>
      </c>
      <c r="E438">
        <f t="shared" si="63"/>
        <v>47</v>
      </c>
      <c r="F438" t="str">
        <f t="shared" si="64"/>
        <v/>
      </c>
      <c r="G438" t="str">
        <f t="shared" si="65"/>
        <v xml:space="preserve">Leicester City FC </v>
      </c>
      <c r="H438" t="str">
        <f t="shared" si="66"/>
        <v xml:space="preserve"> - </v>
      </c>
      <c r="I438" t="str">
        <f t="shared" si="61"/>
        <v/>
      </c>
      <c r="J438" t="str">
        <f t="shared" si="67"/>
        <v>Manchester City FC</v>
      </c>
      <c r="K438" t="str">
        <f t="shared" si="68"/>
        <v>Matchday 30</v>
      </c>
      <c r="L438" t="str">
        <f t="shared" si="69"/>
        <v>[Sat Apr/3]</v>
      </c>
    </row>
    <row r="439" spans="1:12">
      <c r="A439" t="str">
        <f>IF(Sheet1!A442="","",Sheet1!A442)</f>
        <v xml:space="preserve">  Manchester United        -  Brighton &amp; Hove Albion FC</v>
      </c>
      <c r="C439">
        <f t="shared" si="62"/>
        <v>21</v>
      </c>
      <c r="D439">
        <f t="shared" si="60"/>
        <v>28</v>
      </c>
      <c r="E439">
        <f t="shared" si="63"/>
        <v>57</v>
      </c>
      <c r="F439" t="str">
        <f t="shared" si="64"/>
        <v/>
      </c>
      <c r="G439" t="str">
        <f t="shared" si="65"/>
        <v xml:space="preserve">Manchester United    </v>
      </c>
      <c r="H439" t="str">
        <f t="shared" si="66"/>
        <v xml:space="preserve"> - </v>
      </c>
      <c r="I439" t="str">
        <f t="shared" si="61"/>
        <v/>
      </c>
      <c r="J439" t="str">
        <f t="shared" si="67"/>
        <v>Brighton &amp; Hove Albion FC</v>
      </c>
      <c r="K439" t="str">
        <f t="shared" si="68"/>
        <v>Matchday 30</v>
      </c>
      <c r="L439" t="str">
        <f t="shared" si="69"/>
        <v>[Sat Apr/3]</v>
      </c>
    </row>
    <row r="440" spans="1:12">
      <c r="A440" t="str">
        <f>IF(Sheet1!A443="","",Sheet1!A443)</f>
        <v xml:space="preserve">  Newcastle United FC      -  Tottenham Hotspur FC</v>
      </c>
      <c r="C440">
        <f t="shared" si="62"/>
        <v>20</v>
      </c>
      <c r="D440">
        <f t="shared" si="60"/>
        <v>28</v>
      </c>
      <c r="E440">
        <f t="shared" si="63"/>
        <v>49</v>
      </c>
      <c r="F440" t="str">
        <f t="shared" si="64"/>
        <v/>
      </c>
      <c r="G440" t="str">
        <f t="shared" si="65"/>
        <v xml:space="preserve">Newcastle United FC </v>
      </c>
      <c r="H440" t="str">
        <f t="shared" si="66"/>
        <v xml:space="preserve"> - </v>
      </c>
      <c r="I440" t="str">
        <f t="shared" si="61"/>
        <v/>
      </c>
      <c r="J440" t="str">
        <f t="shared" si="67"/>
        <v>Tottenham Hotspur FC</v>
      </c>
      <c r="K440" t="str">
        <f t="shared" si="68"/>
        <v>Matchday 30</v>
      </c>
      <c r="L440" t="str">
        <f t="shared" si="69"/>
        <v>[Sat Apr/3]</v>
      </c>
    </row>
    <row r="441" spans="1:12">
      <c r="A441" t="str">
        <f>IF(Sheet1!A444="","",Sheet1!A444)</f>
        <v xml:space="preserve">  Southampton FC           -  Burnley FC</v>
      </c>
      <c r="C441">
        <f t="shared" si="62"/>
        <v>15</v>
      </c>
      <c r="D441">
        <f t="shared" si="60"/>
        <v>28</v>
      </c>
      <c r="E441">
        <f t="shared" si="63"/>
        <v>39</v>
      </c>
      <c r="F441" t="str">
        <f t="shared" si="64"/>
        <v/>
      </c>
      <c r="G441" t="str">
        <f t="shared" si="65"/>
        <v xml:space="preserve">Southampton FC </v>
      </c>
      <c r="H441" t="str">
        <f t="shared" si="66"/>
        <v xml:space="preserve"> - </v>
      </c>
      <c r="I441" t="str">
        <f t="shared" si="61"/>
        <v/>
      </c>
      <c r="J441" t="str">
        <f t="shared" si="67"/>
        <v>Burnley FC</v>
      </c>
      <c r="K441" t="str">
        <f t="shared" si="68"/>
        <v>Matchday 30</v>
      </c>
      <c r="L441" t="str">
        <f t="shared" si="69"/>
        <v>[Sat Apr/3]</v>
      </c>
    </row>
    <row r="442" spans="1:12">
      <c r="A442" t="str">
        <f>IF(Sheet1!A445="","",Sheet1!A445)</f>
        <v xml:space="preserve">  Wolverhampton Wanderers FC  -  West Ham United FC</v>
      </c>
      <c r="C442">
        <f t="shared" si="62"/>
        <v>27</v>
      </c>
      <c r="D442">
        <f t="shared" si="60"/>
        <v>31</v>
      </c>
      <c r="E442">
        <f t="shared" si="63"/>
        <v>50</v>
      </c>
      <c r="F442" t="str">
        <f t="shared" si="64"/>
        <v/>
      </c>
      <c r="G442" t="str">
        <f t="shared" si="65"/>
        <v xml:space="preserve">Wolverhampton Wanderers FC </v>
      </c>
      <c r="H442" t="str">
        <f t="shared" si="66"/>
        <v xml:space="preserve"> - </v>
      </c>
      <c r="I442" t="str">
        <f t="shared" si="61"/>
        <v/>
      </c>
      <c r="J442" t="str">
        <f t="shared" si="67"/>
        <v>West Ham United FC</v>
      </c>
      <c r="K442" t="str">
        <f t="shared" si="68"/>
        <v>Matchday 30</v>
      </c>
      <c r="L442" t="str">
        <f t="shared" si="69"/>
        <v>[Sat Apr/3]</v>
      </c>
    </row>
    <row r="443" spans="1:12" hidden="1">
      <c r="A443" t="str">
        <f>IF(Sheet1!A446="","",Sheet1!A446)</f>
        <v/>
      </c>
      <c r="C443" t="str">
        <f t="shared" si="62"/>
        <v/>
      </c>
      <c r="D443" t="str">
        <f t="shared" si="60"/>
        <v/>
      </c>
      <c r="E443" t="str">
        <f t="shared" si="63"/>
        <v/>
      </c>
      <c r="F443" t="str">
        <f t="shared" si="64"/>
        <v/>
      </c>
      <c r="G443" t="str">
        <f t="shared" si="65"/>
        <v/>
      </c>
      <c r="H443" t="str">
        <f t="shared" si="66"/>
        <v/>
      </c>
      <c r="I443" t="str">
        <f t="shared" si="61"/>
        <v/>
      </c>
      <c r="J443" t="str">
        <f t="shared" si="67"/>
        <v/>
      </c>
      <c r="K443" t="str">
        <f t="shared" si="68"/>
        <v>Matchday 30</v>
      </c>
      <c r="L443" t="str">
        <f t="shared" si="69"/>
        <v/>
      </c>
    </row>
    <row r="444" spans="1:12" hidden="1">
      <c r="A444" t="str">
        <f>IF(Sheet1!A447="","",Sheet1!A447)</f>
        <v/>
      </c>
      <c r="C444" t="str">
        <f t="shared" si="62"/>
        <v/>
      </c>
      <c r="D444" t="str">
        <f t="shared" si="60"/>
        <v/>
      </c>
      <c r="E444" t="str">
        <f t="shared" si="63"/>
        <v/>
      </c>
      <c r="F444" t="str">
        <f t="shared" si="64"/>
        <v/>
      </c>
      <c r="G444" t="str">
        <f t="shared" si="65"/>
        <v/>
      </c>
      <c r="H444" t="str">
        <f t="shared" si="66"/>
        <v/>
      </c>
      <c r="I444" t="str">
        <f t="shared" si="61"/>
        <v/>
      </c>
      <c r="J444" t="str">
        <f t="shared" si="67"/>
        <v/>
      </c>
      <c r="K444" t="str">
        <f t="shared" si="68"/>
        <v>Matchday 30</v>
      </c>
      <c r="L444" t="str">
        <f t="shared" si="69"/>
        <v/>
      </c>
    </row>
    <row r="445" spans="1:12" hidden="1">
      <c r="A445" t="str">
        <f>IF(Sheet1!A448="","",Sheet1!A448)</f>
        <v>Matchday 31</v>
      </c>
      <c r="C445" t="str">
        <f t="shared" si="62"/>
        <v/>
      </c>
      <c r="D445" t="str">
        <f t="shared" si="60"/>
        <v/>
      </c>
      <c r="E445" t="str">
        <f t="shared" si="63"/>
        <v/>
      </c>
      <c r="F445" t="str">
        <f t="shared" si="64"/>
        <v/>
      </c>
      <c r="G445" t="str">
        <f t="shared" si="65"/>
        <v/>
      </c>
      <c r="H445" t="str">
        <f t="shared" si="66"/>
        <v/>
      </c>
      <c r="I445" t="str">
        <f t="shared" si="61"/>
        <v/>
      </c>
      <c r="J445" t="str">
        <f t="shared" si="67"/>
        <v/>
      </c>
      <c r="K445" t="str">
        <f t="shared" si="68"/>
        <v>Matchday 30</v>
      </c>
      <c r="L445" t="str">
        <f t="shared" si="69"/>
        <v/>
      </c>
    </row>
    <row r="446" spans="1:12" hidden="1">
      <c r="A446" t="str">
        <f>IF(Sheet1!A449="","",Sheet1!A449)</f>
        <v>[Sat Apr/10]</v>
      </c>
      <c r="C446" t="str">
        <f t="shared" si="62"/>
        <v/>
      </c>
      <c r="D446" t="str">
        <f t="shared" si="60"/>
        <v/>
      </c>
      <c r="E446" t="str">
        <f t="shared" si="63"/>
        <v/>
      </c>
      <c r="F446" t="str">
        <f t="shared" si="64"/>
        <v/>
      </c>
      <c r="G446" t="str">
        <f t="shared" si="65"/>
        <v/>
      </c>
      <c r="H446" t="str">
        <f t="shared" si="66"/>
        <v/>
      </c>
      <c r="I446" t="str">
        <f t="shared" si="61"/>
        <v/>
      </c>
      <c r="J446" t="str">
        <f t="shared" si="67"/>
        <v/>
      </c>
      <c r="K446" t="str">
        <f t="shared" si="68"/>
        <v>Matchday 30</v>
      </c>
      <c r="L446" t="str">
        <f t="shared" si="69"/>
        <v/>
      </c>
    </row>
    <row r="447" spans="1:12">
      <c r="A447" t="str">
        <f>IF(Sheet1!A450="","",Sheet1!A450)</f>
        <v xml:space="preserve">  Brighton &amp; Hove Albion FC  -  Everton FC</v>
      </c>
      <c r="C447">
        <f t="shared" si="62"/>
        <v>26</v>
      </c>
      <c r="D447">
        <f t="shared" si="60"/>
        <v>30</v>
      </c>
      <c r="E447">
        <f t="shared" si="63"/>
        <v>41</v>
      </c>
      <c r="F447" t="str">
        <f t="shared" si="64"/>
        <v/>
      </c>
      <c r="G447" t="str">
        <f t="shared" si="65"/>
        <v xml:space="preserve">Brighton &amp; Hove Albion FC </v>
      </c>
      <c r="H447" t="str">
        <f t="shared" si="66"/>
        <v xml:space="preserve"> - </v>
      </c>
      <c r="I447" t="str">
        <f t="shared" si="61"/>
        <v/>
      </c>
      <c r="J447" t="str">
        <f t="shared" si="67"/>
        <v>Everton FC</v>
      </c>
      <c r="K447" t="str">
        <f t="shared" si="68"/>
        <v>Matchday 31</v>
      </c>
      <c r="L447" t="str">
        <f t="shared" si="69"/>
        <v>[Sat Apr/10]</v>
      </c>
    </row>
    <row r="448" spans="1:12">
      <c r="A448" t="str">
        <f>IF(Sheet1!A451="","",Sheet1!A451)</f>
        <v xml:space="preserve">  Burnley FC               -  Newcastle United FC</v>
      </c>
      <c r="C448">
        <f t="shared" si="62"/>
        <v>11</v>
      </c>
      <c r="D448">
        <f t="shared" si="60"/>
        <v>28</v>
      </c>
      <c r="E448">
        <f t="shared" si="63"/>
        <v>48</v>
      </c>
      <c r="F448" t="str">
        <f t="shared" si="64"/>
        <v/>
      </c>
      <c r="G448" t="str">
        <f t="shared" si="65"/>
        <v xml:space="preserve">Burnley FC </v>
      </c>
      <c r="H448" t="str">
        <f t="shared" si="66"/>
        <v xml:space="preserve"> - </v>
      </c>
      <c r="I448" t="str">
        <f t="shared" si="61"/>
        <v/>
      </c>
      <c r="J448" t="str">
        <f t="shared" si="67"/>
        <v>Newcastle United FC</v>
      </c>
      <c r="K448" t="str">
        <f t="shared" si="68"/>
        <v>Matchday 31</v>
      </c>
      <c r="L448" t="str">
        <f t="shared" si="69"/>
        <v>[Sat Apr/10]</v>
      </c>
    </row>
    <row r="449" spans="1:12">
      <c r="A449" t="str">
        <f>IF(Sheet1!A452="","",Sheet1!A452)</f>
        <v xml:space="preserve">  Crystal Palace FC        -  Chelsea FC</v>
      </c>
      <c r="C449">
        <f t="shared" si="62"/>
        <v>18</v>
      </c>
      <c r="D449">
        <f t="shared" si="60"/>
        <v>28</v>
      </c>
      <c r="E449">
        <f t="shared" si="63"/>
        <v>39</v>
      </c>
      <c r="F449" t="str">
        <f t="shared" si="64"/>
        <v/>
      </c>
      <c r="G449" t="str">
        <f t="shared" si="65"/>
        <v xml:space="preserve">Crystal Palace FC </v>
      </c>
      <c r="H449" t="str">
        <f t="shared" si="66"/>
        <v xml:space="preserve"> - </v>
      </c>
      <c r="I449" t="str">
        <f t="shared" si="61"/>
        <v/>
      </c>
      <c r="J449" t="str">
        <f t="shared" si="67"/>
        <v>Chelsea FC</v>
      </c>
      <c r="K449" t="str">
        <f t="shared" si="68"/>
        <v>Matchday 31</v>
      </c>
      <c r="L449" t="str">
        <f t="shared" si="69"/>
        <v>[Sat Apr/10]</v>
      </c>
    </row>
    <row r="450" spans="1:12">
      <c r="A450" t="str">
        <f>IF(Sheet1!A453="","",Sheet1!A453)</f>
        <v xml:space="preserve">  Fulham FC                -  Wolverhampton Wanderers FC</v>
      </c>
      <c r="C450">
        <f t="shared" si="62"/>
        <v>10</v>
      </c>
      <c r="D450">
        <f t="shared" si="60"/>
        <v>28</v>
      </c>
      <c r="E450">
        <f t="shared" si="63"/>
        <v>55</v>
      </c>
      <c r="F450" t="str">
        <f t="shared" si="64"/>
        <v/>
      </c>
      <c r="G450" t="str">
        <f t="shared" si="65"/>
        <v xml:space="preserve">Fulham FC </v>
      </c>
      <c r="H450" t="str">
        <f t="shared" si="66"/>
        <v xml:space="preserve"> - </v>
      </c>
      <c r="I450" t="str">
        <f t="shared" si="61"/>
        <v/>
      </c>
      <c r="J450" t="str">
        <f t="shared" si="67"/>
        <v>Wolverhampton Wanderers FC</v>
      </c>
      <c r="K450" t="str">
        <f t="shared" si="68"/>
        <v>Matchday 31</v>
      </c>
      <c r="L450" t="str">
        <f t="shared" si="69"/>
        <v>[Sat Apr/10]</v>
      </c>
    </row>
    <row r="451" spans="1:12">
      <c r="A451" t="str">
        <f>IF(Sheet1!A454="","",Sheet1!A454)</f>
        <v xml:space="preserve">  Liverpool FC             -  Aston Villa FC</v>
      </c>
      <c r="C451">
        <f t="shared" si="62"/>
        <v>13</v>
      </c>
      <c r="D451">
        <f t="shared" ref="D451:D514" si="70">IFERROR(FIND("-",A451),"")</f>
        <v>28</v>
      </c>
      <c r="E451">
        <f t="shared" si="63"/>
        <v>43</v>
      </c>
      <c r="F451" t="str">
        <f t="shared" si="64"/>
        <v/>
      </c>
      <c r="G451" t="str">
        <f t="shared" si="65"/>
        <v xml:space="preserve">Liverpool FC </v>
      </c>
      <c r="H451" t="str">
        <f t="shared" si="66"/>
        <v xml:space="preserve"> - </v>
      </c>
      <c r="I451" t="str">
        <f t="shared" ref="I451:I514" si="71">IFERROR(IF(LEFT(H451,1)=" ","",MID(A451,D451+4,3)),"")</f>
        <v/>
      </c>
      <c r="J451" t="str">
        <f t="shared" si="67"/>
        <v>Aston Villa FC</v>
      </c>
      <c r="K451" t="str">
        <f t="shared" si="68"/>
        <v>Matchday 31</v>
      </c>
      <c r="L451" t="str">
        <f t="shared" si="69"/>
        <v>[Sat Apr/10]</v>
      </c>
    </row>
    <row r="452" spans="1:12">
      <c r="A452" t="str">
        <f>IF(Sheet1!A455="","",Sheet1!A455)</f>
        <v xml:space="preserve">  Manchester City FC       -  Leeds United FC</v>
      </c>
      <c r="C452">
        <f t="shared" ref="C452:C515" si="72">IFERROR(FIND("FC",SUBSTITUTE(A452,"Manchester United","Manchester United FC")),"")</f>
        <v>19</v>
      </c>
      <c r="D452">
        <f t="shared" si="70"/>
        <v>28</v>
      </c>
      <c r="E452">
        <f t="shared" ref="E452:E515" si="73">IFERROR(FIND("FC",SUBSTITUTE(A452,"Manchester United","Manchester United FC"),D452),"")</f>
        <v>44</v>
      </c>
      <c r="F452" t="str">
        <f t="shared" ref="F452:F515" si="74">IFERROR(IF(VALUE(MID($A452,3,2))&lt;25,MID($A452,3,5),""),"")</f>
        <v/>
      </c>
      <c r="G452" t="str">
        <f t="shared" ref="G452:G515" si="75">IFERROR(IFERROR(IF(VALUE(MID($A452,3,2))&lt;25,MID($A452,10,C452-8),""),MID(A452,3,C452)),"")</f>
        <v xml:space="preserve">Manchester City FC </v>
      </c>
      <c r="H452" t="str">
        <f t="shared" ref="H452:H515" si="76">IFERROR(MID(A452,D452-1,3),"")</f>
        <v xml:space="preserve"> - </v>
      </c>
      <c r="I452" t="str">
        <f t="shared" si="71"/>
        <v/>
      </c>
      <c r="J452" t="str">
        <f t="shared" ref="J452:J515" si="77">IFERROR(IFERROR(IF(VALUE(MID($A452,3,2))&lt;25,MID($A452,D452+10,E452-8),""),MID(A452,D452+3,E452)),"")</f>
        <v>Leeds United FC</v>
      </c>
      <c r="K452" t="str">
        <f t="shared" ref="K452:K515" si="78">IF(LEFT(A450,8)="Matchday",A450,K451)</f>
        <v>Matchday 31</v>
      </c>
      <c r="L452" t="str">
        <f t="shared" ref="L452:L515" si="79">IF(C452="","",IF(LEFT(A451,1)="[",A451,L451))</f>
        <v>[Sat Apr/10]</v>
      </c>
    </row>
    <row r="453" spans="1:12">
      <c r="A453" t="str">
        <f>IF(Sheet1!A456="","",Sheet1!A456)</f>
        <v xml:space="preserve">  Sheffield United FC      -  Arsenal FC</v>
      </c>
      <c r="C453">
        <f t="shared" si="72"/>
        <v>20</v>
      </c>
      <c r="D453">
        <f t="shared" si="70"/>
        <v>28</v>
      </c>
      <c r="E453">
        <f t="shared" si="73"/>
        <v>39</v>
      </c>
      <c r="F453" t="str">
        <f t="shared" si="74"/>
        <v/>
      </c>
      <c r="G453" t="str">
        <f t="shared" si="75"/>
        <v xml:space="preserve">Sheffield United FC </v>
      </c>
      <c r="H453" t="str">
        <f t="shared" si="76"/>
        <v xml:space="preserve"> - </v>
      </c>
      <c r="I453" t="str">
        <f t="shared" si="71"/>
        <v/>
      </c>
      <c r="J453" t="str">
        <f t="shared" si="77"/>
        <v>Arsenal FC</v>
      </c>
      <c r="K453" t="str">
        <f t="shared" si="78"/>
        <v>Matchday 31</v>
      </c>
      <c r="L453" t="str">
        <f t="shared" si="79"/>
        <v>[Sat Apr/10]</v>
      </c>
    </row>
    <row r="454" spans="1:12">
      <c r="A454" t="str">
        <f>IF(Sheet1!A457="","",Sheet1!A457)</f>
        <v xml:space="preserve">  Tottenham Hotspur FC     -  Manchester United</v>
      </c>
      <c r="C454">
        <f t="shared" si="72"/>
        <v>21</v>
      </c>
      <c r="D454">
        <f t="shared" si="70"/>
        <v>28</v>
      </c>
      <c r="E454">
        <f t="shared" si="73"/>
        <v>49</v>
      </c>
      <c r="F454" t="str">
        <f t="shared" si="74"/>
        <v/>
      </c>
      <c r="G454" t="str">
        <f t="shared" si="75"/>
        <v xml:space="preserve">Tottenham Hotspur FC </v>
      </c>
      <c r="H454" t="str">
        <f t="shared" si="76"/>
        <v xml:space="preserve"> - </v>
      </c>
      <c r="I454" t="str">
        <f t="shared" si="71"/>
        <v/>
      </c>
      <c r="J454" t="str">
        <f t="shared" si="77"/>
        <v>Manchester United</v>
      </c>
      <c r="K454" t="str">
        <f t="shared" si="78"/>
        <v>Matchday 31</v>
      </c>
      <c r="L454" t="str">
        <f t="shared" si="79"/>
        <v>[Sat Apr/10]</v>
      </c>
    </row>
    <row r="455" spans="1:12">
      <c r="A455" t="str">
        <f>IF(Sheet1!A458="","",Sheet1!A458)</f>
        <v xml:space="preserve">  West Bromwich Albion FC  -  Southampton FC</v>
      </c>
      <c r="C455">
        <f t="shared" si="72"/>
        <v>24</v>
      </c>
      <c r="D455">
        <f t="shared" si="70"/>
        <v>28</v>
      </c>
      <c r="E455">
        <f t="shared" si="73"/>
        <v>43</v>
      </c>
      <c r="F455" t="str">
        <f t="shared" si="74"/>
        <v/>
      </c>
      <c r="G455" t="str">
        <f t="shared" si="75"/>
        <v xml:space="preserve">West Bromwich Albion FC </v>
      </c>
      <c r="H455" t="str">
        <f t="shared" si="76"/>
        <v xml:space="preserve"> - </v>
      </c>
      <c r="I455" t="str">
        <f t="shared" si="71"/>
        <v/>
      </c>
      <c r="J455" t="str">
        <f t="shared" si="77"/>
        <v>Southampton FC</v>
      </c>
      <c r="K455" t="str">
        <f t="shared" si="78"/>
        <v>Matchday 31</v>
      </c>
      <c r="L455" t="str">
        <f t="shared" si="79"/>
        <v>[Sat Apr/10]</v>
      </c>
    </row>
    <row r="456" spans="1:12">
      <c r="A456" t="str">
        <f>IF(Sheet1!A459="","",Sheet1!A459)</f>
        <v xml:space="preserve">  West Ham United FC       -  Leicester City FC</v>
      </c>
      <c r="C456">
        <f t="shared" si="72"/>
        <v>19</v>
      </c>
      <c r="D456">
        <f t="shared" si="70"/>
        <v>28</v>
      </c>
      <c r="E456">
        <f t="shared" si="73"/>
        <v>46</v>
      </c>
      <c r="F456" t="str">
        <f t="shared" si="74"/>
        <v/>
      </c>
      <c r="G456" t="str">
        <f t="shared" si="75"/>
        <v xml:space="preserve">West Ham United FC </v>
      </c>
      <c r="H456" t="str">
        <f t="shared" si="76"/>
        <v xml:space="preserve"> - </v>
      </c>
      <c r="I456" t="str">
        <f t="shared" si="71"/>
        <v/>
      </c>
      <c r="J456" t="str">
        <f t="shared" si="77"/>
        <v>Leicester City FC</v>
      </c>
      <c r="K456" t="str">
        <f t="shared" si="78"/>
        <v>Matchday 31</v>
      </c>
      <c r="L456" t="str">
        <f t="shared" si="79"/>
        <v>[Sat Apr/10]</v>
      </c>
    </row>
    <row r="457" spans="1:12" hidden="1">
      <c r="A457" t="str">
        <f>IF(Sheet1!A460="","",Sheet1!A460)</f>
        <v/>
      </c>
      <c r="C457" t="str">
        <f t="shared" si="72"/>
        <v/>
      </c>
      <c r="D457" t="str">
        <f t="shared" si="70"/>
        <v/>
      </c>
      <c r="E457" t="str">
        <f t="shared" si="73"/>
        <v/>
      </c>
      <c r="F457" t="str">
        <f t="shared" si="74"/>
        <v/>
      </c>
      <c r="G457" t="str">
        <f t="shared" si="75"/>
        <v/>
      </c>
      <c r="H457" t="str">
        <f t="shared" si="76"/>
        <v/>
      </c>
      <c r="I457" t="str">
        <f t="shared" si="71"/>
        <v/>
      </c>
      <c r="J457" t="str">
        <f t="shared" si="77"/>
        <v/>
      </c>
      <c r="K457" t="str">
        <f t="shared" si="78"/>
        <v>Matchday 31</v>
      </c>
      <c r="L457" t="str">
        <f t="shared" si="79"/>
        <v/>
      </c>
    </row>
    <row r="458" spans="1:12" hidden="1">
      <c r="A458" t="str">
        <f>IF(Sheet1!A461="","",Sheet1!A461)</f>
        <v/>
      </c>
      <c r="C458" t="str">
        <f t="shared" si="72"/>
        <v/>
      </c>
      <c r="D458" t="str">
        <f t="shared" si="70"/>
        <v/>
      </c>
      <c r="E458" t="str">
        <f t="shared" si="73"/>
        <v/>
      </c>
      <c r="F458" t="str">
        <f t="shared" si="74"/>
        <v/>
      </c>
      <c r="G458" t="str">
        <f t="shared" si="75"/>
        <v/>
      </c>
      <c r="H458" t="str">
        <f t="shared" si="76"/>
        <v/>
      </c>
      <c r="I458" t="str">
        <f t="shared" si="71"/>
        <v/>
      </c>
      <c r="J458" t="str">
        <f t="shared" si="77"/>
        <v/>
      </c>
      <c r="K458" t="str">
        <f t="shared" si="78"/>
        <v>Matchday 31</v>
      </c>
      <c r="L458" t="str">
        <f t="shared" si="79"/>
        <v/>
      </c>
    </row>
    <row r="459" spans="1:12" hidden="1">
      <c r="A459" t="str">
        <f>IF(Sheet1!A462="","",Sheet1!A462)</f>
        <v>Matchday 32</v>
      </c>
      <c r="C459" t="str">
        <f t="shared" si="72"/>
        <v/>
      </c>
      <c r="D459" t="str">
        <f t="shared" si="70"/>
        <v/>
      </c>
      <c r="E459" t="str">
        <f t="shared" si="73"/>
        <v/>
      </c>
      <c r="F459" t="str">
        <f t="shared" si="74"/>
        <v/>
      </c>
      <c r="G459" t="str">
        <f t="shared" si="75"/>
        <v/>
      </c>
      <c r="H459" t="str">
        <f t="shared" si="76"/>
        <v/>
      </c>
      <c r="I459" t="str">
        <f t="shared" si="71"/>
        <v/>
      </c>
      <c r="J459" t="str">
        <f t="shared" si="77"/>
        <v/>
      </c>
      <c r="K459" t="str">
        <f t="shared" si="78"/>
        <v>Matchday 31</v>
      </c>
      <c r="L459" t="str">
        <f t="shared" si="79"/>
        <v/>
      </c>
    </row>
    <row r="460" spans="1:12" hidden="1">
      <c r="A460" t="str">
        <f>IF(Sheet1!A463="","",Sheet1!A463)</f>
        <v>[Sat Apr/17]</v>
      </c>
      <c r="C460" t="str">
        <f t="shared" si="72"/>
        <v/>
      </c>
      <c r="D460" t="str">
        <f t="shared" si="70"/>
        <v/>
      </c>
      <c r="E460" t="str">
        <f t="shared" si="73"/>
        <v/>
      </c>
      <c r="F460" t="str">
        <f t="shared" si="74"/>
        <v/>
      </c>
      <c r="G460" t="str">
        <f t="shared" si="75"/>
        <v/>
      </c>
      <c r="H460" t="str">
        <f t="shared" si="76"/>
        <v/>
      </c>
      <c r="I460" t="str">
        <f t="shared" si="71"/>
        <v/>
      </c>
      <c r="J460" t="str">
        <f t="shared" si="77"/>
        <v/>
      </c>
      <c r="K460" t="str">
        <f t="shared" si="78"/>
        <v>Matchday 31</v>
      </c>
      <c r="L460" t="str">
        <f t="shared" si="79"/>
        <v/>
      </c>
    </row>
    <row r="461" spans="1:12">
      <c r="A461" t="str">
        <f>IF(Sheet1!A464="","",Sheet1!A464)</f>
        <v xml:space="preserve">  Arsenal FC               -  Fulham FC</v>
      </c>
      <c r="C461">
        <f t="shared" si="72"/>
        <v>11</v>
      </c>
      <c r="D461">
        <f t="shared" si="70"/>
        <v>28</v>
      </c>
      <c r="E461">
        <f t="shared" si="73"/>
        <v>38</v>
      </c>
      <c r="F461" t="str">
        <f t="shared" si="74"/>
        <v/>
      </c>
      <c r="G461" t="str">
        <f t="shared" si="75"/>
        <v xml:space="preserve">Arsenal FC </v>
      </c>
      <c r="H461" t="str">
        <f t="shared" si="76"/>
        <v xml:space="preserve"> - </v>
      </c>
      <c r="I461" t="str">
        <f t="shared" si="71"/>
        <v/>
      </c>
      <c r="J461" t="str">
        <f t="shared" si="77"/>
        <v>Fulham FC</v>
      </c>
      <c r="K461" t="str">
        <f t="shared" si="78"/>
        <v>Matchday 32</v>
      </c>
      <c r="L461" t="str">
        <f t="shared" si="79"/>
        <v>[Sat Apr/17]</v>
      </c>
    </row>
    <row r="462" spans="1:12">
      <c r="A462" t="str">
        <f>IF(Sheet1!A465="","",Sheet1!A465)</f>
        <v xml:space="preserve">  Aston Villa FC           -  Manchester City FC</v>
      </c>
      <c r="C462">
        <f t="shared" si="72"/>
        <v>15</v>
      </c>
      <c r="D462">
        <f t="shared" si="70"/>
        <v>28</v>
      </c>
      <c r="E462">
        <f t="shared" si="73"/>
        <v>47</v>
      </c>
      <c r="F462" t="str">
        <f t="shared" si="74"/>
        <v/>
      </c>
      <c r="G462" t="str">
        <f t="shared" si="75"/>
        <v xml:space="preserve">Aston Villa FC </v>
      </c>
      <c r="H462" t="str">
        <f t="shared" si="76"/>
        <v xml:space="preserve"> - </v>
      </c>
      <c r="I462" t="str">
        <f t="shared" si="71"/>
        <v/>
      </c>
      <c r="J462" t="str">
        <f t="shared" si="77"/>
        <v>Manchester City FC</v>
      </c>
      <c r="K462" t="str">
        <f t="shared" si="78"/>
        <v>Matchday 32</v>
      </c>
      <c r="L462" t="str">
        <f t="shared" si="79"/>
        <v>[Sat Apr/17]</v>
      </c>
    </row>
    <row r="463" spans="1:12">
      <c r="A463" t="str">
        <f>IF(Sheet1!A466="","",Sheet1!A466)</f>
        <v xml:space="preserve">  Chelsea FC               -  Brighton &amp; Hove Albion FC</v>
      </c>
      <c r="C463">
        <f t="shared" si="72"/>
        <v>11</v>
      </c>
      <c r="D463">
        <f t="shared" si="70"/>
        <v>28</v>
      </c>
      <c r="E463">
        <f t="shared" si="73"/>
        <v>54</v>
      </c>
      <c r="F463" t="str">
        <f t="shared" si="74"/>
        <v/>
      </c>
      <c r="G463" t="str">
        <f t="shared" si="75"/>
        <v xml:space="preserve">Chelsea FC </v>
      </c>
      <c r="H463" t="str">
        <f t="shared" si="76"/>
        <v xml:space="preserve"> - </v>
      </c>
      <c r="I463" t="str">
        <f t="shared" si="71"/>
        <v/>
      </c>
      <c r="J463" t="str">
        <f t="shared" si="77"/>
        <v>Brighton &amp; Hove Albion FC</v>
      </c>
      <c r="K463" t="str">
        <f t="shared" si="78"/>
        <v>Matchday 32</v>
      </c>
      <c r="L463" t="str">
        <f t="shared" si="79"/>
        <v>[Sat Apr/17]</v>
      </c>
    </row>
    <row r="464" spans="1:12">
      <c r="A464" t="str">
        <f>IF(Sheet1!A467="","",Sheet1!A467)</f>
        <v xml:space="preserve">  Everton FC               -  Tottenham Hotspur FC</v>
      </c>
      <c r="C464">
        <f t="shared" si="72"/>
        <v>11</v>
      </c>
      <c r="D464">
        <f t="shared" si="70"/>
        <v>28</v>
      </c>
      <c r="E464">
        <f t="shared" si="73"/>
        <v>49</v>
      </c>
      <c r="F464" t="str">
        <f t="shared" si="74"/>
        <v/>
      </c>
      <c r="G464" t="str">
        <f t="shared" si="75"/>
        <v xml:space="preserve">Everton FC </v>
      </c>
      <c r="H464" t="str">
        <f t="shared" si="76"/>
        <v xml:space="preserve"> - </v>
      </c>
      <c r="I464" t="str">
        <f t="shared" si="71"/>
        <v/>
      </c>
      <c r="J464" t="str">
        <f t="shared" si="77"/>
        <v>Tottenham Hotspur FC</v>
      </c>
      <c r="K464" t="str">
        <f t="shared" si="78"/>
        <v>Matchday 32</v>
      </c>
      <c r="L464" t="str">
        <f t="shared" si="79"/>
        <v>[Sat Apr/17]</v>
      </c>
    </row>
    <row r="465" spans="1:12">
      <c r="A465" t="str">
        <f>IF(Sheet1!A468="","",Sheet1!A468)</f>
        <v xml:space="preserve">  Leeds United FC          -  Liverpool FC</v>
      </c>
      <c r="C465">
        <f t="shared" si="72"/>
        <v>16</v>
      </c>
      <c r="D465">
        <f t="shared" si="70"/>
        <v>28</v>
      </c>
      <c r="E465">
        <f t="shared" si="73"/>
        <v>41</v>
      </c>
      <c r="F465" t="str">
        <f t="shared" si="74"/>
        <v/>
      </c>
      <c r="G465" t="str">
        <f t="shared" si="75"/>
        <v xml:space="preserve">Leeds United FC </v>
      </c>
      <c r="H465" t="str">
        <f t="shared" si="76"/>
        <v xml:space="preserve"> - </v>
      </c>
      <c r="I465" t="str">
        <f t="shared" si="71"/>
        <v/>
      </c>
      <c r="J465" t="str">
        <f t="shared" si="77"/>
        <v>Liverpool FC</v>
      </c>
      <c r="K465" t="str">
        <f t="shared" si="78"/>
        <v>Matchday 32</v>
      </c>
      <c r="L465" t="str">
        <f t="shared" si="79"/>
        <v>[Sat Apr/17]</v>
      </c>
    </row>
    <row r="466" spans="1:12">
      <c r="A466" t="str">
        <f>IF(Sheet1!A469="","",Sheet1!A469)</f>
        <v xml:space="preserve">  Leicester City FC        -  West Bromwich Albion FC</v>
      </c>
      <c r="C466">
        <f t="shared" si="72"/>
        <v>18</v>
      </c>
      <c r="D466">
        <f t="shared" si="70"/>
        <v>28</v>
      </c>
      <c r="E466">
        <f t="shared" si="73"/>
        <v>52</v>
      </c>
      <c r="F466" t="str">
        <f t="shared" si="74"/>
        <v/>
      </c>
      <c r="G466" t="str">
        <f t="shared" si="75"/>
        <v xml:space="preserve">Leicester City FC </v>
      </c>
      <c r="H466" t="str">
        <f t="shared" si="76"/>
        <v xml:space="preserve"> - </v>
      </c>
      <c r="I466" t="str">
        <f t="shared" si="71"/>
        <v/>
      </c>
      <c r="J466" t="str">
        <f t="shared" si="77"/>
        <v>West Bromwich Albion FC</v>
      </c>
      <c r="K466" t="str">
        <f t="shared" si="78"/>
        <v>Matchday 32</v>
      </c>
      <c r="L466" t="str">
        <f t="shared" si="79"/>
        <v>[Sat Apr/17]</v>
      </c>
    </row>
    <row r="467" spans="1:12">
      <c r="A467" t="str">
        <f>IF(Sheet1!A470="","",Sheet1!A470)</f>
        <v xml:space="preserve">  Manchester United        -  Burnley FC</v>
      </c>
      <c r="C467">
        <f t="shared" si="72"/>
        <v>21</v>
      </c>
      <c r="D467">
        <f t="shared" si="70"/>
        <v>28</v>
      </c>
      <c r="E467">
        <f t="shared" si="73"/>
        <v>42</v>
      </c>
      <c r="F467" t="str">
        <f t="shared" si="74"/>
        <v/>
      </c>
      <c r="G467" t="str">
        <f t="shared" si="75"/>
        <v xml:space="preserve">Manchester United    </v>
      </c>
      <c r="H467" t="str">
        <f t="shared" si="76"/>
        <v xml:space="preserve"> - </v>
      </c>
      <c r="I467" t="str">
        <f t="shared" si="71"/>
        <v/>
      </c>
      <c r="J467" t="str">
        <f t="shared" si="77"/>
        <v>Burnley FC</v>
      </c>
      <c r="K467" t="str">
        <f t="shared" si="78"/>
        <v>Matchday 32</v>
      </c>
      <c r="L467" t="str">
        <f t="shared" si="79"/>
        <v>[Sat Apr/17]</v>
      </c>
    </row>
    <row r="468" spans="1:12">
      <c r="A468" t="str">
        <f>IF(Sheet1!A471="","",Sheet1!A471)</f>
        <v xml:space="preserve">  Newcastle United FC      -  West Ham United FC</v>
      </c>
      <c r="C468">
        <f t="shared" si="72"/>
        <v>20</v>
      </c>
      <c r="D468">
        <f t="shared" si="70"/>
        <v>28</v>
      </c>
      <c r="E468">
        <f t="shared" si="73"/>
        <v>47</v>
      </c>
      <c r="F468" t="str">
        <f t="shared" si="74"/>
        <v/>
      </c>
      <c r="G468" t="str">
        <f t="shared" si="75"/>
        <v xml:space="preserve">Newcastle United FC </v>
      </c>
      <c r="H468" t="str">
        <f t="shared" si="76"/>
        <v xml:space="preserve"> - </v>
      </c>
      <c r="I468" t="str">
        <f t="shared" si="71"/>
        <v/>
      </c>
      <c r="J468" t="str">
        <f t="shared" si="77"/>
        <v>West Ham United FC</v>
      </c>
      <c r="K468" t="str">
        <f t="shared" si="78"/>
        <v>Matchday 32</v>
      </c>
      <c r="L468" t="str">
        <f t="shared" si="79"/>
        <v>[Sat Apr/17]</v>
      </c>
    </row>
    <row r="469" spans="1:12">
      <c r="A469" t="str">
        <f>IF(Sheet1!A472="","",Sheet1!A472)</f>
        <v xml:space="preserve">  Southampton FC           -  Crystal Palace FC</v>
      </c>
      <c r="C469">
        <f t="shared" si="72"/>
        <v>15</v>
      </c>
      <c r="D469">
        <f t="shared" si="70"/>
        <v>28</v>
      </c>
      <c r="E469">
        <f t="shared" si="73"/>
        <v>46</v>
      </c>
      <c r="F469" t="str">
        <f t="shared" si="74"/>
        <v/>
      </c>
      <c r="G469" t="str">
        <f t="shared" si="75"/>
        <v xml:space="preserve">Southampton FC </v>
      </c>
      <c r="H469" t="str">
        <f t="shared" si="76"/>
        <v xml:space="preserve"> - </v>
      </c>
      <c r="I469" t="str">
        <f t="shared" si="71"/>
        <v/>
      </c>
      <c r="J469" t="str">
        <f t="shared" si="77"/>
        <v>Crystal Palace FC</v>
      </c>
      <c r="K469" t="str">
        <f t="shared" si="78"/>
        <v>Matchday 32</v>
      </c>
      <c r="L469" t="str">
        <f t="shared" si="79"/>
        <v>[Sat Apr/17]</v>
      </c>
    </row>
    <row r="470" spans="1:12">
      <c r="A470" t="str">
        <f>IF(Sheet1!A473="","",Sheet1!A473)</f>
        <v xml:space="preserve">  Wolverhampton Wanderers FC  -  Sheffield United FC</v>
      </c>
      <c r="C470">
        <f t="shared" si="72"/>
        <v>27</v>
      </c>
      <c r="D470">
        <f t="shared" si="70"/>
        <v>31</v>
      </c>
      <c r="E470">
        <f t="shared" si="73"/>
        <v>51</v>
      </c>
      <c r="F470" t="str">
        <f t="shared" si="74"/>
        <v/>
      </c>
      <c r="G470" t="str">
        <f t="shared" si="75"/>
        <v xml:space="preserve">Wolverhampton Wanderers FC </v>
      </c>
      <c r="H470" t="str">
        <f t="shared" si="76"/>
        <v xml:space="preserve"> - </v>
      </c>
      <c r="I470" t="str">
        <f t="shared" si="71"/>
        <v/>
      </c>
      <c r="J470" t="str">
        <f t="shared" si="77"/>
        <v>Sheffield United FC</v>
      </c>
      <c r="K470" t="str">
        <f t="shared" si="78"/>
        <v>Matchday 32</v>
      </c>
      <c r="L470" t="str">
        <f t="shared" si="79"/>
        <v>[Sat Apr/17]</v>
      </c>
    </row>
    <row r="471" spans="1:12" hidden="1">
      <c r="A471" t="str">
        <f>IF(Sheet1!A474="","",Sheet1!A474)</f>
        <v/>
      </c>
      <c r="C471" t="str">
        <f t="shared" si="72"/>
        <v/>
      </c>
      <c r="D471" t="str">
        <f t="shared" si="70"/>
        <v/>
      </c>
      <c r="E471" t="str">
        <f t="shared" si="73"/>
        <v/>
      </c>
      <c r="F471" t="str">
        <f t="shared" si="74"/>
        <v/>
      </c>
      <c r="G471" t="str">
        <f t="shared" si="75"/>
        <v/>
      </c>
      <c r="H471" t="str">
        <f t="shared" si="76"/>
        <v/>
      </c>
      <c r="I471" t="str">
        <f t="shared" si="71"/>
        <v/>
      </c>
      <c r="J471" t="str">
        <f t="shared" si="77"/>
        <v/>
      </c>
      <c r="K471" t="str">
        <f t="shared" si="78"/>
        <v>Matchday 32</v>
      </c>
      <c r="L471" t="str">
        <f t="shared" si="79"/>
        <v/>
      </c>
    </row>
    <row r="472" spans="1:12" hidden="1">
      <c r="A472" t="str">
        <f>IF(Sheet1!A475="","",Sheet1!A475)</f>
        <v/>
      </c>
      <c r="C472" t="str">
        <f t="shared" si="72"/>
        <v/>
      </c>
      <c r="D472" t="str">
        <f t="shared" si="70"/>
        <v/>
      </c>
      <c r="E472" t="str">
        <f t="shared" si="73"/>
        <v/>
      </c>
      <c r="F472" t="str">
        <f t="shared" si="74"/>
        <v/>
      </c>
      <c r="G472" t="str">
        <f t="shared" si="75"/>
        <v/>
      </c>
      <c r="H472" t="str">
        <f t="shared" si="76"/>
        <v/>
      </c>
      <c r="I472" t="str">
        <f t="shared" si="71"/>
        <v/>
      </c>
      <c r="J472" t="str">
        <f t="shared" si="77"/>
        <v/>
      </c>
      <c r="K472" t="str">
        <f t="shared" si="78"/>
        <v>Matchday 32</v>
      </c>
      <c r="L472" t="str">
        <f t="shared" si="79"/>
        <v/>
      </c>
    </row>
    <row r="473" spans="1:12" hidden="1">
      <c r="A473" t="str">
        <f>IF(Sheet1!A476="","",Sheet1!A476)</f>
        <v>Matchday 33</v>
      </c>
      <c r="C473" t="str">
        <f t="shared" si="72"/>
        <v/>
      </c>
      <c r="D473" t="str">
        <f t="shared" si="70"/>
        <v/>
      </c>
      <c r="E473" t="str">
        <f t="shared" si="73"/>
        <v/>
      </c>
      <c r="F473" t="str">
        <f t="shared" si="74"/>
        <v/>
      </c>
      <c r="G473" t="str">
        <f t="shared" si="75"/>
        <v/>
      </c>
      <c r="H473" t="str">
        <f t="shared" si="76"/>
        <v/>
      </c>
      <c r="I473" t="str">
        <f t="shared" si="71"/>
        <v/>
      </c>
      <c r="J473" t="str">
        <f t="shared" si="77"/>
        <v/>
      </c>
      <c r="K473" t="str">
        <f t="shared" si="78"/>
        <v>Matchday 32</v>
      </c>
      <c r="L473" t="str">
        <f t="shared" si="79"/>
        <v/>
      </c>
    </row>
    <row r="474" spans="1:12" hidden="1">
      <c r="A474" t="str">
        <f>IF(Sheet1!A477="","",Sheet1!A477)</f>
        <v>[Sat Apr/24]</v>
      </c>
      <c r="C474" t="str">
        <f t="shared" si="72"/>
        <v/>
      </c>
      <c r="D474" t="str">
        <f t="shared" si="70"/>
        <v/>
      </c>
      <c r="E474" t="str">
        <f t="shared" si="73"/>
        <v/>
      </c>
      <c r="F474" t="str">
        <f t="shared" si="74"/>
        <v/>
      </c>
      <c r="G474" t="str">
        <f t="shared" si="75"/>
        <v/>
      </c>
      <c r="H474" t="str">
        <f t="shared" si="76"/>
        <v/>
      </c>
      <c r="I474" t="str">
        <f t="shared" si="71"/>
        <v/>
      </c>
      <c r="J474" t="str">
        <f t="shared" si="77"/>
        <v/>
      </c>
      <c r="K474" t="str">
        <f t="shared" si="78"/>
        <v>Matchday 32</v>
      </c>
      <c r="L474" t="str">
        <f t="shared" si="79"/>
        <v/>
      </c>
    </row>
    <row r="475" spans="1:12">
      <c r="A475" t="str">
        <f>IF(Sheet1!A478="","",Sheet1!A478)</f>
        <v xml:space="preserve">  Arsenal FC               -  Everton FC</v>
      </c>
      <c r="C475">
        <f t="shared" si="72"/>
        <v>11</v>
      </c>
      <c r="D475">
        <f t="shared" si="70"/>
        <v>28</v>
      </c>
      <c r="E475">
        <f t="shared" si="73"/>
        <v>39</v>
      </c>
      <c r="F475" t="str">
        <f t="shared" si="74"/>
        <v/>
      </c>
      <c r="G475" t="str">
        <f t="shared" si="75"/>
        <v xml:space="preserve">Arsenal FC </v>
      </c>
      <c r="H475" t="str">
        <f t="shared" si="76"/>
        <v xml:space="preserve"> - </v>
      </c>
      <c r="I475" t="str">
        <f t="shared" si="71"/>
        <v/>
      </c>
      <c r="J475" t="str">
        <f t="shared" si="77"/>
        <v>Everton FC</v>
      </c>
      <c r="K475" t="str">
        <f t="shared" si="78"/>
        <v>Matchday 33</v>
      </c>
      <c r="L475" t="str">
        <f t="shared" si="79"/>
        <v>[Sat Apr/24]</v>
      </c>
    </row>
    <row r="476" spans="1:12">
      <c r="A476" t="str">
        <f>IF(Sheet1!A479="","",Sheet1!A479)</f>
        <v xml:space="preserve">  Aston Villa FC           -  West Bromwich Albion FC</v>
      </c>
      <c r="C476">
        <f t="shared" si="72"/>
        <v>15</v>
      </c>
      <c r="D476">
        <f t="shared" si="70"/>
        <v>28</v>
      </c>
      <c r="E476">
        <f t="shared" si="73"/>
        <v>52</v>
      </c>
      <c r="F476" t="str">
        <f t="shared" si="74"/>
        <v/>
      </c>
      <c r="G476" t="str">
        <f t="shared" si="75"/>
        <v xml:space="preserve">Aston Villa FC </v>
      </c>
      <c r="H476" t="str">
        <f t="shared" si="76"/>
        <v xml:space="preserve"> - </v>
      </c>
      <c r="I476" t="str">
        <f t="shared" si="71"/>
        <v/>
      </c>
      <c r="J476" t="str">
        <f t="shared" si="77"/>
        <v>West Bromwich Albion FC</v>
      </c>
      <c r="K476" t="str">
        <f t="shared" si="78"/>
        <v>Matchday 33</v>
      </c>
      <c r="L476" t="str">
        <f t="shared" si="79"/>
        <v>[Sat Apr/24]</v>
      </c>
    </row>
    <row r="477" spans="1:12">
      <c r="A477" t="str">
        <f>IF(Sheet1!A480="","",Sheet1!A480)</f>
        <v xml:space="preserve">  Fulham FC                -  Tottenham Hotspur FC</v>
      </c>
      <c r="C477">
        <f t="shared" si="72"/>
        <v>10</v>
      </c>
      <c r="D477">
        <f t="shared" si="70"/>
        <v>28</v>
      </c>
      <c r="E477">
        <f t="shared" si="73"/>
        <v>49</v>
      </c>
      <c r="F477" t="str">
        <f t="shared" si="74"/>
        <v/>
      </c>
      <c r="G477" t="str">
        <f t="shared" si="75"/>
        <v xml:space="preserve">Fulham FC </v>
      </c>
      <c r="H477" t="str">
        <f t="shared" si="76"/>
        <v xml:space="preserve"> - </v>
      </c>
      <c r="I477" t="str">
        <f t="shared" si="71"/>
        <v/>
      </c>
      <c r="J477" t="str">
        <f t="shared" si="77"/>
        <v>Tottenham Hotspur FC</v>
      </c>
      <c r="K477" t="str">
        <f t="shared" si="78"/>
        <v>Matchday 33</v>
      </c>
      <c r="L477" t="str">
        <f t="shared" si="79"/>
        <v>[Sat Apr/24]</v>
      </c>
    </row>
    <row r="478" spans="1:12">
      <c r="A478" t="str">
        <f>IF(Sheet1!A481="","",Sheet1!A481)</f>
        <v xml:space="preserve">  Leeds United FC          -  Manchester United</v>
      </c>
      <c r="C478">
        <f t="shared" si="72"/>
        <v>16</v>
      </c>
      <c r="D478">
        <f t="shared" si="70"/>
        <v>28</v>
      </c>
      <c r="E478">
        <f t="shared" si="73"/>
        <v>49</v>
      </c>
      <c r="F478" t="str">
        <f t="shared" si="74"/>
        <v/>
      </c>
      <c r="G478" t="str">
        <f t="shared" si="75"/>
        <v xml:space="preserve">Leeds United FC </v>
      </c>
      <c r="H478" t="str">
        <f t="shared" si="76"/>
        <v xml:space="preserve"> - </v>
      </c>
      <c r="I478" t="str">
        <f t="shared" si="71"/>
        <v/>
      </c>
      <c r="J478" t="str">
        <f t="shared" si="77"/>
        <v>Manchester United</v>
      </c>
      <c r="K478" t="str">
        <f t="shared" si="78"/>
        <v>Matchday 33</v>
      </c>
      <c r="L478" t="str">
        <f t="shared" si="79"/>
        <v>[Sat Apr/24]</v>
      </c>
    </row>
    <row r="479" spans="1:12">
      <c r="A479" t="str">
        <f>IF(Sheet1!A482="","",Sheet1!A482)</f>
        <v xml:space="preserve">  Leicester City FC        -  Crystal Palace FC</v>
      </c>
      <c r="C479">
        <f t="shared" si="72"/>
        <v>18</v>
      </c>
      <c r="D479">
        <f t="shared" si="70"/>
        <v>28</v>
      </c>
      <c r="E479">
        <f t="shared" si="73"/>
        <v>46</v>
      </c>
      <c r="F479" t="str">
        <f t="shared" si="74"/>
        <v/>
      </c>
      <c r="G479" t="str">
        <f t="shared" si="75"/>
        <v xml:space="preserve">Leicester City FC </v>
      </c>
      <c r="H479" t="str">
        <f t="shared" si="76"/>
        <v xml:space="preserve"> - </v>
      </c>
      <c r="I479" t="str">
        <f t="shared" si="71"/>
        <v/>
      </c>
      <c r="J479" t="str">
        <f t="shared" si="77"/>
        <v>Crystal Palace FC</v>
      </c>
      <c r="K479" t="str">
        <f t="shared" si="78"/>
        <v>Matchday 33</v>
      </c>
      <c r="L479" t="str">
        <f t="shared" si="79"/>
        <v>[Sat Apr/24]</v>
      </c>
    </row>
    <row r="480" spans="1:12">
      <c r="A480" t="str">
        <f>IF(Sheet1!A483="","",Sheet1!A483)</f>
        <v xml:space="preserve">  Liverpool FC             -  Newcastle United FC</v>
      </c>
      <c r="C480">
        <f t="shared" si="72"/>
        <v>13</v>
      </c>
      <c r="D480">
        <f t="shared" si="70"/>
        <v>28</v>
      </c>
      <c r="E480">
        <f t="shared" si="73"/>
        <v>48</v>
      </c>
      <c r="F480" t="str">
        <f t="shared" si="74"/>
        <v/>
      </c>
      <c r="G480" t="str">
        <f t="shared" si="75"/>
        <v xml:space="preserve">Liverpool FC </v>
      </c>
      <c r="H480" t="str">
        <f t="shared" si="76"/>
        <v xml:space="preserve"> - </v>
      </c>
      <c r="I480" t="str">
        <f t="shared" si="71"/>
        <v/>
      </c>
      <c r="J480" t="str">
        <f t="shared" si="77"/>
        <v>Newcastle United FC</v>
      </c>
      <c r="K480" t="str">
        <f t="shared" si="78"/>
        <v>Matchday 33</v>
      </c>
      <c r="L480" t="str">
        <f t="shared" si="79"/>
        <v>[Sat Apr/24]</v>
      </c>
    </row>
    <row r="481" spans="1:12">
      <c r="A481" t="str">
        <f>IF(Sheet1!A484="","",Sheet1!A484)</f>
        <v xml:space="preserve">  Manchester City FC       -  Southampton FC</v>
      </c>
      <c r="C481">
        <f t="shared" si="72"/>
        <v>19</v>
      </c>
      <c r="D481">
        <f t="shared" si="70"/>
        <v>28</v>
      </c>
      <c r="E481">
        <f t="shared" si="73"/>
        <v>43</v>
      </c>
      <c r="F481" t="str">
        <f t="shared" si="74"/>
        <v/>
      </c>
      <c r="G481" t="str">
        <f t="shared" si="75"/>
        <v xml:space="preserve">Manchester City FC </v>
      </c>
      <c r="H481" t="str">
        <f t="shared" si="76"/>
        <v xml:space="preserve"> - </v>
      </c>
      <c r="I481" t="str">
        <f t="shared" si="71"/>
        <v/>
      </c>
      <c r="J481" t="str">
        <f t="shared" si="77"/>
        <v>Southampton FC</v>
      </c>
      <c r="K481" t="str">
        <f t="shared" si="78"/>
        <v>Matchday 33</v>
      </c>
      <c r="L481" t="str">
        <f t="shared" si="79"/>
        <v>[Sat Apr/24]</v>
      </c>
    </row>
    <row r="482" spans="1:12">
      <c r="A482" t="str">
        <f>IF(Sheet1!A485="","",Sheet1!A485)</f>
        <v xml:space="preserve">  Sheffield United FC      -  Brighton &amp; Hove Albion FC</v>
      </c>
      <c r="C482">
        <f t="shared" si="72"/>
        <v>20</v>
      </c>
      <c r="D482">
        <f t="shared" si="70"/>
        <v>28</v>
      </c>
      <c r="E482">
        <f t="shared" si="73"/>
        <v>54</v>
      </c>
      <c r="F482" t="str">
        <f t="shared" si="74"/>
        <v/>
      </c>
      <c r="G482" t="str">
        <f t="shared" si="75"/>
        <v xml:space="preserve">Sheffield United FC </v>
      </c>
      <c r="H482" t="str">
        <f t="shared" si="76"/>
        <v xml:space="preserve"> - </v>
      </c>
      <c r="I482" t="str">
        <f t="shared" si="71"/>
        <v/>
      </c>
      <c r="J482" t="str">
        <f t="shared" si="77"/>
        <v>Brighton &amp; Hove Albion FC</v>
      </c>
      <c r="K482" t="str">
        <f t="shared" si="78"/>
        <v>Matchday 33</v>
      </c>
      <c r="L482" t="str">
        <f t="shared" si="79"/>
        <v>[Sat Apr/24]</v>
      </c>
    </row>
    <row r="483" spans="1:12">
      <c r="A483" t="str">
        <f>IF(Sheet1!A486="","",Sheet1!A486)</f>
        <v xml:space="preserve">  West Ham United FC       -  Chelsea FC</v>
      </c>
      <c r="C483">
        <f t="shared" si="72"/>
        <v>19</v>
      </c>
      <c r="D483">
        <f t="shared" si="70"/>
        <v>28</v>
      </c>
      <c r="E483">
        <f t="shared" si="73"/>
        <v>39</v>
      </c>
      <c r="F483" t="str">
        <f t="shared" si="74"/>
        <v/>
      </c>
      <c r="G483" t="str">
        <f t="shared" si="75"/>
        <v xml:space="preserve">West Ham United FC </v>
      </c>
      <c r="H483" t="str">
        <f t="shared" si="76"/>
        <v xml:space="preserve"> - </v>
      </c>
      <c r="I483" t="str">
        <f t="shared" si="71"/>
        <v/>
      </c>
      <c r="J483" t="str">
        <f t="shared" si="77"/>
        <v>Chelsea FC</v>
      </c>
      <c r="K483" t="str">
        <f t="shared" si="78"/>
        <v>Matchday 33</v>
      </c>
      <c r="L483" t="str">
        <f t="shared" si="79"/>
        <v>[Sat Apr/24]</v>
      </c>
    </row>
    <row r="484" spans="1:12">
      <c r="A484" t="str">
        <f>IF(Sheet1!A487="","",Sheet1!A487)</f>
        <v xml:space="preserve">  Wolverhampton Wanderers FC  -  Burnley FC</v>
      </c>
      <c r="C484">
        <f t="shared" si="72"/>
        <v>27</v>
      </c>
      <c r="D484">
        <f t="shared" si="70"/>
        <v>31</v>
      </c>
      <c r="E484">
        <f t="shared" si="73"/>
        <v>42</v>
      </c>
      <c r="F484" t="str">
        <f t="shared" si="74"/>
        <v/>
      </c>
      <c r="G484" t="str">
        <f t="shared" si="75"/>
        <v xml:space="preserve">Wolverhampton Wanderers FC </v>
      </c>
      <c r="H484" t="str">
        <f t="shared" si="76"/>
        <v xml:space="preserve"> - </v>
      </c>
      <c r="I484" t="str">
        <f t="shared" si="71"/>
        <v/>
      </c>
      <c r="J484" t="str">
        <f t="shared" si="77"/>
        <v>Burnley FC</v>
      </c>
      <c r="K484" t="str">
        <f t="shared" si="78"/>
        <v>Matchday 33</v>
      </c>
      <c r="L484" t="str">
        <f t="shared" si="79"/>
        <v>[Sat Apr/24]</v>
      </c>
    </row>
    <row r="485" spans="1:12" hidden="1">
      <c r="A485" t="str">
        <f>IF(Sheet1!A488="","",Sheet1!A488)</f>
        <v/>
      </c>
      <c r="C485" t="str">
        <f t="shared" si="72"/>
        <v/>
      </c>
      <c r="D485" t="str">
        <f t="shared" si="70"/>
        <v/>
      </c>
      <c r="E485" t="str">
        <f t="shared" si="73"/>
        <v/>
      </c>
      <c r="F485" t="str">
        <f t="shared" si="74"/>
        <v/>
      </c>
      <c r="G485" t="str">
        <f t="shared" si="75"/>
        <v/>
      </c>
      <c r="H485" t="str">
        <f t="shared" si="76"/>
        <v/>
      </c>
      <c r="I485" t="str">
        <f t="shared" si="71"/>
        <v/>
      </c>
      <c r="J485" t="str">
        <f t="shared" si="77"/>
        <v/>
      </c>
      <c r="K485" t="str">
        <f t="shared" si="78"/>
        <v>Matchday 33</v>
      </c>
      <c r="L485" t="str">
        <f t="shared" si="79"/>
        <v/>
      </c>
    </row>
    <row r="486" spans="1:12" hidden="1">
      <c r="A486" t="str">
        <f>IF(Sheet1!A489="","",Sheet1!A489)</f>
        <v/>
      </c>
      <c r="C486" t="str">
        <f t="shared" si="72"/>
        <v/>
      </c>
      <c r="D486" t="str">
        <f t="shared" si="70"/>
        <v/>
      </c>
      <c r="E486" t="str">
        <f t="shared" si="73"/>
        <v/>
      </c>
      <c r="F486" t="str">
        <f t="shared" si="74"/>
        <v/>
      </c>
      <c r="G486" t="str">
        <f t="shared" si="75"/>
        <v/>
      </c>
      <c r="H486" t="str">
        <f t="shared" si="76"/>
        <v/>
      </c>
      <c r="I486" t="str">
        <f t="shared" si="71"/>
        <v/>
      </c>
      <c r="J486" t="str">
        <f t="shared" si="77"/>
        <v/>
      </c>
      <c r="K486" t="str">
        <f t="shared" si="78"/>
        <v>Matchday 33</v>
      </c>
      <c r="L486" t="str">
        <f t="shared" si="79"/>
        <v/>
      </c>
    </row>
    <row r="487" spans="1:12" hidden="1">
      <c r="A487" t="str">
        <f>IF(Sheet1!A490="","",Sheet1!A490)</f>
        <v>Matchday 34</v>
      </c>
      <c r="C487" t="str">
        <f t="shared" si="72"/>
        <v/>
      </c>
      <c r="D487" t="str">
        <f t="shared" si="70"/>
        <v/>
      </c>
      <c r="E487" t="str">
        <f t="shared" si="73"/>
        <v/>
      </c>
      <c r="F487" t="str">
        <f t="shared" si="74"/>
        <v/>
      </c>
      <c r="G487" t="str">
        <f t="shared" si="75"/>
        <v/>
      </c>
      <c r="H487" t="str">
        <f t="shared" si="76"/>
        <v/>
      </c>
      <c r="I487" t="str">
        <f t="shared" si="71"/>
        <v/>
      </c>
      <c r="J487" t="str">
        <f t="shared" si="77"/>
        <v/>
      </c>
      <c r="K487" t="str">
        <f t="shared" si="78"/>
        <v>Matchday 33</v>
      </c>
      <c r="L487" t="str">
        <f t="shared" si="79"/>
        <v/>
      </c>
    </row>
    <row r="488" spans="1:12" hidden="1">
      <c r="A488" t="str">
        <f>IF(Sheet1!A491="","",Sheet1!A491)</f>
        <v>[Sat May/1]</v>
      </c>
      <c r="C488" t="str">
        <f t="shared" si="72"/>
        <v/>
      </c>
      <c r="D488" t="str">
        <f t="shared" si="70"/>
        <v/>
      </c>
      <c r="E488" t="str">
        <f t="shared" si="73"/>
        <v/>
      </c>
      <c r="F488" t="str">
        <f t="shared" si="74"/>
        <v/>
      </c>
      <c r="G488" t="str">
        <f t="shared" si="75"/>
        <v/>
      </c>
      <c r="H488" t="str">
        <f t="shared" si="76"/>
        <v/>
      </c>
      <c r="I488" t="str">
        <f t="shared" si="71"/>
        <v/>
      </c>
      <c r="J488" t="str">
        <f t="shared" si="77"/>
        <v/>
      </c>
      <c r="K488" t="str">
        <f t="shared" si="78"/>
        <v>Matchday 33</v>
      </c>
      <c r="L488" t="str">
        <f t="shared" si="79"/>
        <v/>
      </c>
    </row>
    <row r="489" spans="1:12">
      <c r="A489" t="str">
        <f>IF(Sheet1!A492="","",Sheet1!A492)</f>
        <v xml:space="preserve">  Brighton &amp; Hove Albion FC  -  Leeds United FC</v>
      </c>
      <c r="C489">
        <f t="shared" si="72"/>
        <v>26</v>
      </c>
      <c r="D489">
        <f t="shared" si="70"/>
        <v>30</v>
      </c>
      <c r="E489">
        <f t="shared" si="73"/>
        <v>46</v>
      </c>
      <c r="F489" t="str">
        <f t="shared" si="74"/>
        <v/>
      </c>
      <c r="G489" t="str">
        <f t="shared" si="75"/>
        <v xml:space="preserve">Brighton &amp; Hove Albion FC </v>
      </c>
      <c r="H489" t="str">
        <f t="shared" si="76"/>
        <v xml:space="preserve"> - </v>
      </c>
      <c r="I489" t="str">
        <f t="shared" si="71"/>
        <v/>
      </c>
      <c r="J489" t="str">
        <f t="shared" si="77"/>
        <v>Leeds United FC</v>
      </c>
      <c r="K489" t="str">
        <f t="shared" si="78"/>
        <v>Matchday 34</v>
      </c>
      <c r="L489" t="str">
        <f t="shared" si="79"/>
        <v>[Sat May/1]</v>
      </c>
    </row>
    <row r="490" spans="1:12">
      <c r="A490" t="str">
        <f>IF(Sheet1!A493="","",Sheet1!A493)</f>
        <v xml:space="preserve">  Burnley FC               -  West Ham United FC</v>
      </c>
      <c r="C490">
        <f t="shared" si="72"/>
        <v>11</v>
      </c>
      <c r="D490">
        <f t="shared" si="70"/>
        <v>28</v>
      </c>
      <c r="E490">
        <f t="shared" si="73"/>
        <v>47</v>
      </c>
      <c r="F490" t="str">
        <f t="shared" si="74"/>
        <v/>
      </c>
      <c r="G490" t="str">
        <f t="shared" si="75"/>
        <v xml:space="preserve">Burnley FC </v>
      </c>
      <c r="H490" t="str">
        <f t="shared" si="76"/>
        <v xml:space="preserve"> - </v>
      </c>
      <c r="I490" t="str">
        <f t="shared" si="71"/>
        <v/>
      </c>
      <c r="J490" t="str">
        <f t="shared" si="77"/>
        <v>West Ham United FC</v>
      </c>
      <c r="K490" t="str">
        <f t="shared" si="78"/>
        <v>Matchday 34</v>
      </c>
      <c r="L490" t="str">
        <f t="shared" si="79"/>
        <v>[Sat May/1]</v>
      </c>
    </row>
    <row r="491" spans="1:12">
      <c r="A491" t="str">
        <f>IF(Sheet1!A494="","",Sheet1!A494)</f>
        <v xml:space="preserve">  Chelsea FC               -  Fulham FC</v>
      </c>
      <c r="C491">
        <f t="shared" si="72"/>
        <v>11</v>
      </c>
      <c r="D491">
        <f t="shared" si="70"/>
        <v>28</v>
      </c>
      <c r="E491">
        <f t="shared" si="73"/>
        <v>38</v>
      </c>
      <c r="F491" t="str">
        <f t="shared" si="74"/>
        <v/>
      </c>
      <c r="G491" t="str">
        <f t="shared" si="75"/>
        <v xml:space="preserve">Chelsea FC </v>
      </c>
      <c r="H491" t="str">
        <f t="shared" si="76"/>
        <v xml:space="preserve"> - </v>
      </c>
      <c r="I491" t="str">
        <f t="shared" si="71"/>
        <v/>
      </c>
      <c r="J491" t="str">
        <f t="shared" si="77"/>
        <v>Fulham FC</v>
      </c>
      <c r="K491" t="str">
        <f t="shared" si="78"/>
        <v>Matchday 34</v>
      </c>
      <c r="L491" t="str">
        <f t="shared" si="79"/>
        <v>[Sat May/1]</v>
      </c>
    </row>
    <row r="492" spans="1:12">
      <c r="A492" t="str">
        <f>IF(Sheet1!A495="","",Sheet1!A495)</f>
        <v xml:space="preserve">  Crystal Palace FC        -  Manchester City FC</v>
      </c>
      <c r="C492">
        <f t="shared" si="72"/>
        <v>18</v>
      </c>
      <c r="D492">
        <f t="shared" si="70"/>
        <v>28</v>
      </c>
      <c r="E492">
        <f t="shared" si="73"/>
        <v>47</v>
      </c>
      <c r="F492" t="str">
        <f t="shared" si="74"/>
        <v/>
      </c>
      <c r="G492" t="str">
        <f t="shared" si="75"/>
        <v xml:space="preserve">Crystal Palace FC </v>
      </c>
      <c r="H492" t="str">
        <f t="shared" si="76"/>
        <v xml:space="preserve"> - </v>
      </c>
      <c r="I492" t="str">
        <f t="shared" si="71"/>
        <v/>
      </c>
      <c r="J492" t="str">
        <f t="shared" si="77"/>
        <v>Manchester City FC</v>
      </c>
      <c r="K492" t="str">
        <f t="shared" si="78"/>
        <v>Matchday 34</v>
      </c>
      <c r="L492" t="str">
        <f t="shared" si="79"/>
        <v>[Sat May/1]</v>
      </c>
    </row>
    <row r="493" spans="1:12">
      <c r="A493" t="str">
        <f>IF(Sheet1!A496="","",Sheet1!A496)</f>
        <v xml:space="preserve">  Everton FC               -  Aston Villa FC</v>
      </c>
      <c r="C493">
        <f t="shared" si="72"/>
        <v>11</v>
      </c>
      <c r="D493">
        <f t="shared" si="70"/>
        <v>28</v>
      </c>
      <c r="E493">
        <f t="shared" si="73"/>
        <v>43</v>
      </c>
      <c r="F493" t="str">
        <f t="shared" si="74"/>
        <v/>
      </c>
      <c r="G493" t="str">
        <f t="shared" si="75"/>
        <v xml:space="preserve">Everton FC </v>
      </c>
      <c r="H493" t="str">
        <f t="shared" si="76"/>
        <v xml:space="preserve"> - </v>
      </c>
      <c r="I493" t="str">
        <f t="shared" si="71"/>
        <v/>
      </c>
      <c r="J493" t="str">
        <f t="shared" si="77"/>
        <v>Aston Villa FC</v>
      </c>
      <c r="K493" t="str">
        <f t="shared" si="78"/>
        <v>Matchday 34</v>
      </c>
      <c r="L493" t="str">
        <f t="shared" si="79"/>
        <v>[Sat May/1]</v>
      </c>
    </row>
    <row r="494" spans="1:12">
      <c r="A494" t="str">
        <f>IF(Sheet1!A497="","",Sheet1!A497)</f>
        <v xml:space="preserve">  Manchester United        -  Liverpool FC</v>
      </c>
      <c r="C494">
        <f t="shared" si="72"/>
        <v>21</v>
      </c>
      <c r="D494">
        <f t="shared" si="70"/>
        <v>28</v>
      </c>
      <c r="E494">
        <f t="shared" si="73"/>
        <v>44</v>
      </c>
      <c r="F494" t="str">
        <f t="shared" si="74"/>
        <v/>
      </c>
      <c r="G494" t="str">
        <f t="shared" si="75"/>
        <v xml:space="preserve">Manchester United    </v>
      </c>
      <c r="H494" t="str">
        <f t="shared" si="76"/>
        <v xml:space="preserve"> - </v>
      </c>
      <c r="I494" t="str">
        <f t="shared" si="71"/>
        <v/>
      </c>
      <c r="J494" t="str">
        <f t="shared" si="77"/>
        <v>Liverpool FC</v>
      </c>
      <c r="K494" t="str">
        <f t="shared" si="78"/>
        <v>Matchday 34</v>
      </c>
      <c r="L494" t="str">
        <f t="shared" si="79"/>
        <v>[Sat May/1]</v>
      </c>
    </row>
    <row r="495" spans="1:12">
      <c r="A495" t="str">
        <f>IF(Sheet1!A498="","",Sheet1!A498)</f>
        <v xml:space="preserve">  Newcastle United FC      -  Arsenal FC</v>
      </c>
      <c r="C495">
        <f t="shared" si="72"/>
        <v>20</v>
      </c>
      <c r="D495">
        <f t="shared" si="70"/>
        <v>28</v>
      </c>
      <c r="E495">
        <f t="shared" si="73"/>
        <v>39</v>
      </c>
      <c r="F495" t="str">
        <f t="shared" si="74"/>
        <v/>
      </c>
      <c r="G495" t="str">
        <f t="shared" si="75"/>
        <v xml:space="preserve">Newcastle United FC </v>
      </c>
      <c r="H495" t="str">
        <f t="shared" si="76"/>
        <v xml:space="preserve"> - </v>
      </c>
      <c r="I495" t="str">
        <f t="shared" si="71"/>
        <v/>
      </c>
      <c r="J495" t="str">
        <f t="shared" si="77"/>
        <v>Arsenal FC</v>
      </c>
      <c r="K495" t="str">
        <f t="shared" si="78"/>
        <v>Matchday 34</v>
      </c>
      <c r="L495" t="str">
        <f t="shared" si="79"/>
        <v>[Sat May/1]</v>
      </c>
    </row>
    <row r="496" spans="1:12">
      <c r="A496" t="str">
        <f>IF(Sheet1!A499="","",Sheet1!A499)</f>
        <v xml:space="preserve">  Southampton FC           -  Leicester City FC</v>
      </c>
      <c r="C496">
        <f t="shared" si="72"/>
        <v>15</v>
      </c>
      <c r="D496">
        <f t="shared" si="70"/>
        <v>28</v>
      </c>
      <c r="E496">
        <f t="shared" si="73"/>
        <v>46</v>
      </c>
      <c r="F496" t="str">
        <f t="shared" si="74"/>
        <v/>
      </c>
      <c r="G496" t="str">
        <f t="shared" si="75"/>
        <v xml:space="preserve">Southampton FC </v>
      </c>
      <c r="H496" t="str">
        <f t="shared" si="76"/>
        <v xml:space="preserve"> - </v>
      </c>
      <c r="I496" t="str">
        <f t="shared" si="71"/>
        <v/>
      </c>
      <c r="J496" t="str">
        <f t="shared" si="77"/>
        <v>Leicester City FC</v>
      </c>
      <c r="K496" t="str">
        <f t="shared" si="78"/>
        <v>Matchday 34</v>
      </c>
      <c r="L496" t="str">
        <f t="shared" si="79"/>
        <v>[Sat May/1]</v>
      </c>
    </row>
    <row r="497" spans="1:12">
      <c r="A497" t="str">
        <f>IF(Sheet1!A500="","",Sheet1!A500)</f>
        <v xml:space="preserve">  Tottenham Hotspur FC     -  Sheffield United FC</v>
      </c>
      <c r="C497">
        <f t="shared" si="72"/>
        <v>21</v>
      </c>
      <c r="D497">
        <f t="shared" si="70"/>
        <v>28</v>
      </c>
      <c r="E497">
        <f t="shared" si="73"/>
        <v>48</v>
      </c>
      <c r="F497" t="str">
        <f t="shared" si="74"/>
        <v/>
      </c>
      <c r="G497" t="str">
        <f t="shared" si="75"/>
        <v xml:space="preserve">Tottenham Hotspur FC </v>
      </c>
      <c r="H497" t="str">
        <f t="shared" si="76"/>
        <v xml:space="preserve"> - </v>
      </c>
      <c r="I497" t="str">
        <f t="shared" si="71"/>
        <v/>
      </c>
      <c r="J497" t="str">
        <f t="shared" si="77"/>
        <v>Sheffield United FC</v>
      </c>
      <c r="K497" t="str">
        <f t="shared" si="78"/>
        <v>Matchday 34</v>
      </c>
      <c r="L497" t="str">
        <f t="shared" si="79"/>
        <v>[Sat May/1]</v>
      </c>
    </row>
    <row r="498" spans="1:12">
      <c r="A498" t="str">
        <f>IF(Sheet1!A501="","",Sheet1!A501)</f>
        <v xml:space="preserve">  West Bromwich Albion FC  -  Wolverhampton Wanderers FC</v>
      </c>
      <c r="C498">
        <f t="shared" si="72"/>
        <v>24</v>
      </c>
      <c r="D498">
        <f t="shared" si="70"/>
        <v>28</v>
      </c>
      <c r="E498">
        <f t="shared" si="73"/>
        <v>55</v>
      </c>
      <c r="F498" t="str">
        <f t="shared" si="74"/>
        <v/>
      </c>
      <c r="G498" t="str">
        <f t="shared" si="75"/>
        <v xml:space="preserve">West Bromwich Albion FC </v>
      </c>
      <c r="H498" t="str">
        <f t="shared" si="76"/>
        <v xml:space="preserve"> - </v>
      </c>
      <c r="I498" t="str">
        <f t="shared" si="71"/>
        <v/>
      </c>
      <c r="J498" t="str">
        <f t="shared" si="77"/>
        <v>Wolverhampton Wanderers FC</v>
      </c>
      <c r="K498" t="str">
        <f t="shared" si="78"/>
        <v>Matchday 34</v>
      </c>
      <c r="L498" t="str">
        <f t="shared" si="79"/>
        <v>[Sat May/1]</v>
      </c>
    </row>
    <row r="499" spans="1:12" hidden="1">
      <c r="A499" t="str">
        <f>IF(Sheet1!A502="","",Sheet1!A502)</f>
        <v/>
      </c>
      <c r="C499" t="str">
        <f t="shared" si="72"/>
        <v/>
      </c>
      <c r="D499" t="str">
        <f t="shared" si="70"/>
        <v/>
      </c>
      <c r="E499" t="str">
        <f t="shared" si="73"/>
        <v/>
      </c>
      <c r="F499" t="str">
        <f t="shared" si="74"/>
        <v/>
      </c>
      <c r="G499" t="str">
        <f t="shared" si="75"/>
        <v/>
      </c>
      <c r="H499" t="str">
        <f t="shared" si="76"/>
        <v/>
      </c>
      <c r="I499" t="str">
        <f t="shared" si="71"/>
        <v/>
      </c>
      <c r="J499" t="str">
        <f t="shared" si="77"/>
        <v/>
      </c>
      <c r="K499" t="str">
        <f t="shared" si="78"/>
        <v>Matchday 34</v>
      </c>
      <c r="L499" t="str">
        <f t="shared" si="79"/>
        <v/>
      </c>
    </row>
    <row r="500" spans="1:12" hidden="1">
      <c r="A500" t="str">
        <f>IF(Sheet1!A503="","",Sheet1!A503)</f>
        <v/>
      </c>
      <c r="C500" t="str">
        <f t="shared" si="72"/>
        <v/>
      </c>
      <c r="D500" t="str">
        <f t="shared" si="70"/>
        <v/>
      </c>
      <c r="E500" t="str">
        <f t="shared" si="73"/>
        <v/>
      </c>
      <c r="F500" t="str">
        <f t="shared" si="74"/>
        <v/>
      </c>
      <c r="G500" t="str">
        <f t="shared" si="75"/>
        <v/>
      </c>
      <c r="H500" t="str">
        <f t="shared" si="76"/>
        <v/>
      </c>
      <c r="I500" t="str">
        <f t="shared" si="71"/>
        <v/>
      </c>
      <c r="J500" t="str">
        <f t="shared" si="77"/>
        <v/>
      </c>
      <c r="K500" t="str">
        <f t="shared" si="78"/>
        <v>Matchday 34</v>
      </c>
      <c r="L500" t="str">
        <f t="shared" si="79"/>
        <v/>
      </c>
    </row>
    <row r="501" spans="1:12" hidden="1">
      <c r="A501" t="str">
        <f>IF(Sheet1!A504="","",Sheet1!A504)</f>
        <v>Matchday 35</v>
      </c>
      <c r="C501" t="str">
        <f t="shared" si="72"/>
        <v/>
      </c>
      <c r="D501" t="str">
        <f t="shared" si="70"/>
        <v/>
      </c>
      <c r="E501" t="str">
        <f t="shared" si="73"/>
        <v/>
      </c>
      <c r="F501" t="str">
        <f t="shared" si="74"/>
        <v/>
      </c>
      <c r="G501" t="str">
        <f t="shared" si="75"/>
        <v/>
      </c>
      <c r="H501" t="str">
        <f t="shared" si="76"/>
        <v/>
      </c>
      <c r="I501" t="str">
        <f t="shared" si="71"/>
        <v/>
      </c>
      <c r="J501" t="str">
        <f t="shared" si="77"/>
        <v/>
      </c>
      <c r="K501" t="str">
        <f t="shared" si="78"/>
        <v>Matchday 34</v>
      </c>
      <c r="L501" t="str">
        <f t="shared" si="79"/>
        <v/>
      </c>
    </row>
    <row r="502" spans="1:12" hidden="1">
      <c r="A502" t="str">
        <f>IF(Sheet1!A505="","",Sheet1!A505)</f>
        <v>[Sat May/8]</v>
      </c>
      <c r="C502" t="str">
        <f t="shared" si="72"/>
        <v/>
      </c>
      <c r="D502" t="str">
        <f t="shared" si="70"/>
        <v/>
      </c>
      <c r="E502" t="str">
        <f t="shared" si="73"/>
        <v/>
      </c>
      <c r="F502" t="str">
        <f t="shared" si="74"/>
        <v/>
      </c>
      <c r="G502" t="str">
        <f t="shared" si="75"/>
        <v/>
      </c>
      <c r="H502" t="str">
        <f t="shared" si="76"/>
        <v/>
      </c>
      <c r="I502" t="str">
        <f t="shared" si="71"/>
        <v/>
      </c>
      <c r="J502" t="str">
        <f t="shared" si="77"/>
        <v/>
      </c>
      <c r="K502" t="str">
        <f t="shared" si="78"/>
        <v>Matchday 34</v>
      </c>
      <c r="L502" t="str">
        <f t="shared" si="79"/>
        <v/>
      </c>
    </row>
    <row r="503" spans="1:12">
      <c r="A503" t="str">
        <f>IF(Sheet1!A506="","",Sheet1!A506)</f>
        <v xml:space="preserve">  Arsenal FC               -  West Bromwich Albion FC</v>
      </c>
      <c r="C503">
        <f t="shared" si="72"/>
        <v>11</v>
      </c>
      <c r="D503">
        <f t="shared" si="70"/>
        <v>28</v>
      </c>
      <c r="E503">
        <f t="shared" si="73"/>
        <v>52</v>
      </c>
      <c r="F503" t="str">
        <f t="shared" si="74"/>
        <v/>
      </c>
      <c r="G503" t="str">
        <f t="shared" si="75"/>
        <v xml:space="preserve">Arsenal FC </v>
      </c>
      <c r="H503" t="str">
        <f t="shared" si="76"/>
        <v xml:space="preserve"> - </v>
      </c>
      <c r="I503" t="str">
        <f t="shared" si="71"/>
        <v/>
      </c>
      <c r="J503" t="str">
        <f t="shared" si="77"/>
        <v>West Bromwich Albion FC</v>
      </c>
      <c r="K503" t="str">
        <f t="shared" si="78"/>
        <v>Matchday 35</v>
      </c>
      <c r="L503" t="str">
        <f t="shared" si="79"/>
        <v>[Sat May/8]</v>
      </c>
    </row>
    <row r="504" spans="1:12">
      <c r="A504" t="str">
        <f>IF(Sheet1!A507="","",Sheet1!A507)</f>
        <v xml:space="preserve">  Aston Villa FC           -  Manchester United</v>
      </c>
      <c r="C504">
        <f t="shared" si="72"/>
        <v>15</v>
      </c>
      <c r="D504">
        <f t="shared" si="70"/>
        <v>28</v>
      </c>
      <c r="E504">
        <f t="shared" si="73"/>
        <v>49</v>
      </c>
      <c r="F504" t="str">
        <f t="shared" si="74"/>
        <v/>
      </c>
      <c r="G504" t="str">
        <f t="shared" si="75"/>
        <v xml:space="preserve">Aston Villa FC </v>
      </c>
      <c r="H504" t="str">
        <f t="shared" si="76"/>
        <v xml:space="preserve"> - </v>
      </c>
      <c r="I504" t="str">
        <f t="shared" si="71"/>
        <v/>
      </c>
      <c r="J504" t="str">
        <f t="shared" si="77"/>
        <v>Manchester United</v>
      </c>
      <c r="K504" t="str">
        <f t="shared" si="78"/>
        <v>Matchday 35</v>
      </c>
      <c r="L504" t="str">
        <f t="shared" si="79"/>
        <v>[Sat May/8]</v>
      </c>
    </row>
    <row r="505" spans="1:12">
      <c r="A505" t="str">
        <f>IF(Sheet1!A508="","",Sheet1!A508)</f>
        <v xml:space="preserve">  Fulham FC                -  Burnley FC</v>
      </c>
      <c r="C505">
        <f t="shared" si="72"/>
        <v>10</v>
      </c>
      <c r="D505">
        <f t="shared" si="70"/>
        <v>28</v>
      </c>
      <c r="E505">
        <f t="shared" si="73"/>
        <v>39</v>
      </c>
      <c r="F505" t="str">
        <f t="shared" si="74"/>
        <v/>
      </c>
      <c r="G505" t="str">
        <f t="shared" si="75"/>
        <v xml:space="preserve">Fulham FC </v>
      </c>
      <c r="H505" t="str">
        <f t="shared" si="76"/>
        <v xml:space="preserve"> - </v>
      </c>
      <c r="I505" t="str">
        <f t="shared" si="71"/>
        <v/>
      </c>
      <c r="J505" t="str">
        <f t="shared" si="77"/>
        <v>Burnley FC</v>
      </c>
      <c r="K505" t="str">
        <f t="shared" si="78"/>
        <v>Matchday 35</v>
      </c>
      <c r="L505" t="str">
        <f t="shared" si="79"/>
        <v>[Sat May/8]</v>
      </c>
    </row>
    <row r="506" spans="1:12">
      <c r="A506" t="str">
        <f>IF(Sheet1!A509="","",Sheet1!A509)</f>
        <v xml:space="preserve">  Leeds United FC          -  Tottenham Hotspur FC</v>
      </c>
      <c r="C506">
        <f t="shared" si="72"/>
        <v>16</v>
      </c>
      <c r="D506">
        <f t="shared" si="70"/>
        <v>28</v>
      </c>
      <c r="E506">
        <f t="shared" si="73"/>
        <v>49</v>
      </c>
      <c r="F506" t="str">
        <f t="shared" si="74"/>
        <v/>
      </c>
      <c r="G506" t="str">
        <f t="shared" si="75"/>
        <v xml:space="preserve">Leeds United FC </v>
      </c>
      <c r="H506" t="str">
        <f t="shared" si="76"/>
        <v xml:space="preserve"> - </v>
      </c>
      <c r="I506" t="str">
        <f t="shared" si="71"/>
        <v/>
      </c>
      <c r="J506" t="str">
        <f t="shared" si="77"/>
        <v>Tottenham Hotspur FC</v>
      </c>
      <c r="K506" t="str">
        <f t="shared" si="78"/>
        <v>Matchday 35</v>
      </c>
      <c r="L506" t="str">
        <f t="shared" si="79"/>
        <v>[Sat May/8]</v>
      </c>
    </row>
    <row r="507" spans="1:12">
      <c r="A507" t="str">
        <f>IF(Sheet1!A510="","",Sheet1!A510)</f>
        <v xml:space="preserve">  Leicester City FC        -  Newcastle United FC</v>
      </c>
      <c r="C507">
        <f t="shared" si="72"/>
        <v>18</v>
      </c>
      <c r="D507">
        <f t="shared" si="70"/>
        <v>28</v>
      </c>
      <c r="E507">
        <f t="shared" si="73"/>
        <v>48</v>
      </c>
      <c r="F507" t="str">
        <f t="shared" si="74"/>
        <v/>
      </c>
      <c r="G507" t="str">
        <f t="shared" si="75"/>
        <v xml:space="preserve">Leicester City FC </v>
      </c>
      <c r="H507" t="str">
        <f t="shared" si="76"/>
        <v xml:space="preserve"> - </v>
      </c>
      <c r="I507" t="str">
        <f t="shared" si="71"/>
        <v/>
      </c>
      <c r="J507" t="str">
        <f t="shared" si="77"/>
        <v>Newcastle United FC</v>
      </c>
      <c r="K507" t="str">
        <f t="shared" si="78"/>
        <v>Matchday 35</v>
      </c>
      <c r="L507" t="str">
        <f t="shared" si="79"/>
        <v>[Sat May/8]</v>
      </c>
    </row>
    <row r="508" spans="1:12">
      <c r="A508" t="str">
        <f>IF(Sheet1!A511="","",Sheet1!A511)</f>
        <v xml:space="preserve">  Liverpool FC             -  Southampton FC</v>
      </c>
      <c r="C508">
        <f t="shared" si="72"/>
        <v>13</v>
      </c>
      <c r="D508">
        <f t="shared" si="70"/>
        <v>28</v>
      </c>
      <c r="E508">
        <f t="shared" si="73"/>
        <v>43</v>
      </c>
      <c r="F508" t="str">
        <f t="shared" si="74"/>
        <v/>
      </c>
      <c r="G508" t="str">
        <f t="shared" si="75"/>
        <v xml:space="preserve">Liverpool FC </v>
      </c>
      <c r="H508" t="str">
        <f t="shared" si="76"/>
        <v xml:space="preserve"> - </v>
      </c>
      <c r="I508" t="str">
        <f t="shared" si="71"/>
        <v/>
      </c>
      <c r="J508" t="str">
        <f t="shared" si="77"/>
        <v>Southampton FC</v>
      </c>
      <c r="K508" t="str">
        <f t="shared" si="78"/>
        <v>Matchday 35</v>
      </c>
      <c r="L508" t="str">
        <f t="shared" si="79"/>
        <v>[Sat May/8]</v>
      </c>
    </row>
    <row r="509" spans="1:12">
      <c r="A509" t="str">
        <f>IF(Sheet1!A512="","",Sheet1!A512)</f>
        <v xml:space="preserve">  Manchester City FC       -  Chelsea FC</v>
      </c>
      <c r="C509">
        <f t="shared" si="72"/>
        <v>19</v>
      </c>
      <c r="D509">
        <f t="shared" si="70"/>
        <v>28</v>
      </c>
      <c r="E509">
        <f t="shared" si="73"/>
        <v>39</v>
      </c>
      <c r="F509" t="str">
        <f t="shared" si="74"/>
        <v/>
      </c>
      <c r="G509" t="str">
        <f t="shared" si="75"/>
        <v xml:space="preserve">Manchester City FC </v>
      </c>
      <c r="H509" t="str">
        <f t="shared" si="76"/>
        <v xml:space="preserve"> - </v>
      </c>
      <c r="I509" t="str">
        <f t="shared" si="71"/>
        <v/>
      </c>
      <c r="J509" t="str">
        <f t="shared" si="77"/>
        <v>Chelsea FC</v>
      </c>
      <c r="K509" t="str">
        <f t="shared" si="78"/>
        <v>Matchday 35</v>
      </c>
      <c r="L509" t="str">
        <f t="shared" si="79"/>
        <v>[Sat May/8]</v>
      </c>
    </row>
    <row r="510" spans="1:12">
      <c r="A510" t="str">
        <f>IF(Sheet1!A513="","",Sheet1!A513)</f>
        <v xml:space="preserve">  Sheffield United FC      -  Crystal Palace FC</v>
      </c>
      <c r="C510">
        <f t="shared" si="72"/>
        <v>20</v>
      </c>
      <c r="D510">
        <f t="shared" si="70"/>
        <v>28</v>
      </c>
      <c r="E510">
        <f t="shared" si="73"/>
        <v>46</v>
      </c>
      <c r="F510" t="str">
        <f t="shared" si="74"/>
        <v/>
      </c>
      <c r="G510" t="str">
        <f t="shared" si="75"/>
        <v xml:space="preserve">Sheffield United FC </v>
      </c>
      <c r="H510" t="str">
        <f t="shared" si="76"/>
        <v xml:space="preserve"> - </v>
      </c>
      <c r="I510" t="str">
        <f t="shared" si="71"/>
        <v/>
      </c>
      <c r="J510" t="str">
        <f t="shared" si="77"/>
        <v>Crystal Palace FC</v>
      </c>
      <c r="K510" t="str">
        <f t="shared" si="78"/>
        <v>Matchday 35</v>
      </c>
      <c r="L510" t="str">
        <f t="shared" si="79"/>
        <v>[Sat May/8]</v>
      </c>
    </row>
    <row r="511" spans="1:12">
      <c r="A511" t="str">
        <f>IF(Sheet1!A514="","",Sheet1!A514)</f>
        <v xml:space="preserve">  West Ham United FC       -  Everton FC</v>
      </c>
      <c r="C511">
        <f t="shared" si="72"/>
        <v>19</v>
      </c>
      <c r="D511">
        <f t="shared" si="70"/>
        <v>28</v>
      </c>
      <c r="E511">
        <f t="shared" si="73"/>
        <v>39</v>
      </c>
      <c r="F511" t="str">
        <f t="shared" si="74"/>
        <v/>
      </c>
      <c r="G511" t="str">
        <f t="shared" si="75"/>
        <v xml:space="preserve">West Ham United FC </v>
      </c>
      <c r="H511" t="str">
        <f t="shared" si="76"/>
        <v xml:space="preserve"> - </v>
      </c>
      <c r="I511" t="str">
        <f t="shared" si="71"/>
        <v/>
      </c>
      <c r="J511" t="str">
        <f t="shared" si="77"/>
        <v>Everton FC</v>
      </c>
      <c r="K511" t="str">
        <f t="shared" si="78"/>
        <v>Matchday 35</v>
      </c>
      <c r="L511" t="str">
        <f t="shared" si="79"/>
        <v>[Sat May/8]</v>
      </c>
    </row>
    <row r="512" spans="1:12">
      <c r="A512" t="str">
        <f>IF(Sheet1!A515="","",Sheet1!A515)</f>
        <v xml:space="preserve">  Wolverhampton Wanderers FC  -  Brighton &amp; Hove Albion FC</v>
      </c>
      <c r="C512">
        <f t="shared" si="72"/>
        <v>27</v>
      </c>
      <c r="D512">
        <f t="shared" si="70"/>
        <v>31</v>
      </c>
      <c r="E512">
        <f t="shared" si="73"/>
        <v>57</v>
      </c>
      <c r="F512" t="str">
        <f t="shared" si="74"/>
        <v/>
      </c>
      <c r="G512" t="str">
        <f t="shared" si="75"/>
        <v xml:space="preserve">Wolverhampton Wanderers FC </v>
      </c>
      <c r="H512" t="str">
        <f t="shared" si="76"/>
        <v xml:space="preserve"> - </v>
      </c>
      <c r="I512" t="str">
        <f t="shared" si="71"/>
        <v/>
      </c>
      <c r="J512" t="str">
        <f t="shared" si="77"/>
        <v>Brighton &amp; Hove Albion FC</v>
      </c>
      <c r="K512" t="str">
        <f t="shared" si="78"/>
        <v>Matchday 35</v>
      </c>
      <c r="L512" t="str">
        <f t="shared" si="79"/>
        <v>[Sat May/8]</v>
      </c>
    </row>
    <row r="513" spans="1:12" hidden="1">
      <c r="A513" t="str">
        <f>IF(Sheet1!A516="","",Sheet1!A516)</f>
        <v/>
      </c>
      <c r="C513" t="str">
        <f t="shared" si="72"/>
        <v/>
      </c>
      <c r="D513" t="str">
        <f t="shared" si="70"/>
        <v/>
      </c>
      <c r="E513" t="str">
        <f t="shared" si="73"/>
        <v/>
      </c>
      <c r="F513" t="str">
        <f t="shared" si="74"/>
        <v/>
      </c>
      <c r="G513" t="str">
        <f t="shared" si="75"/>
        <v/>
      </c>
      <c r="H513" t="str">
        <f t="shared" si="76"/>
        <v/>
      </c>
      <c r="I513" t="str">
        <f t="shared" si="71"/>
        <v/>
      </c>
      <c r="J513" t="str">
        <f t="shared" si="77"/>
        <v/>
      </c>
      <c r="K513" t="str">
        <f t="shared" si="78"/>
        <v>Matchday 35</v>
      </c>
      <c r="L513" t="str">
        <f t="shared" si="79"/>
        <v/>
      </c>
    </row>
    <row r="514" spans="1:12" hidden="1">
      <c r="A514" t="str">
        <f>IF(Sheet1!A517="","",Sheet1!A517)</f>
        <v/>
      </c>
      <c r="C514" t="str">
        <f t="shared" si="72"/>
        <v/>
      </c>
      <c r="D514" t="str">
        <f t="shared" si="70"/>
        <v/>
      </c>
      <c r="E514" t="str">
        <f t="shared" si="73"/>
        <v/>
      </c>
      <c r="F514" t="str">
        <f t="shared" si="74"/>
        <v/>
      </c>
      <c r="G514" t="str">
        <f t="shared" si="75"/>
        <v/>
      </c>
      <c r="H514" t="str">
        <f t="shared" si="76"/>
        <v/>
      </c>
      <c r="I514" t="str">
        <f t="shared" si="71"/>
        <v/>
      </c>
      <c r="J514" t="str">
        <f t="shared" si="77"/>
        <v/>
      </c>
      <c r="K514" t="str">
        <f t="shared" si="78"/>
        <v>Matchday 35</v>
      </c>
      <c r="L514" t="str">
        <f t="shared" si="79"/>
        <v/>
      </c>
    </row>
    <row r="515" spans="1:12" hidden="1">
      <c r="A515" t="str">
        <f>IF(Sheet1!A518="","",Sheet1!A518)</f>
        <v>Matchday 36</v>
      </c>
      <c r="C515" t="str">
        <f t="shared" si="72"/>
        <v/>
      </c>
      <c r="D515" t="str">
        <f t="shared" ref="D515:D578" si="80">IFERROR(FIND("-",A515),"")</f>
        <v/>
      </c>
      <c r="E515" t="str">
        <f t="shared" si="73"/>
        <v/>
      </c>
      <c r="F515" t="str">
        <f t="shared" si="74"/>
        <v/>
      </c>
      <c r="G515" t="str">
        <f t="shared" si="75"/>
        <v/>
      </c>
      <c r="H515" t="str">
        <f t="shared" si="76"/>
        <v/>
      </c>
      <c r="I515" t="str">
        <f t="shared" ref="I515:I578" si="81">IFERROR(IF(LEFT(H515,1)=" ","",MID(A515,D515+4,3)),"")</f>
        <v/>
      </c>
      <c r="J515" t="str">
        <f t="shared" si="77"/>
        <v/>
      </c>
      <c r="K515" t="str">
        <f t="shared" si="78"/>
        <v>Matchday 35</v>
      </c>
      <c r="L515" t="str">
        <f t="shared" si="79"/>
        <v/>
      </c>
    </row>
    <row r="516" spans="1:12" hidden="1">
      <c r="A516" t="str">
        <f>IF(Sheet1!A519="","",Sheet1!A519)</f>
        <v>[Tue May/11]</v>
      </c>
      <c r="C516" t="str">
        <f t="shared" ref="C516:C579" si="82">IFERROR(FIND("FC",SUBSTITUTE(A516,"Manchester United","Manchester United FC")),"")</f>
        <v/>
      </c>
      <c r="D516" t="str">
        <f t="shared" si="80"/>
        <v/>
      </c>
      <c r="E516" t="str">
        <f t="shared" ref="E516:E579" si="83">IFERROR(FIND("FC",SUBSTITUTE(A516,"Manchester United","Manchester United FC"),D516),"")</f>
        <v/>
      </c>
      <c r="F516" t="str">
        <f t="shared" ref="F516:F579" si="84">IFERROR(IF(VALUE(MID($A516,3,2))&lt;25,MID($A516,3,5),""),"")</f>
        <v/>
      </c>
      <c r="G516" t="str">
        <f t="shared" ref="G516:G579" si="85">IFERROR(IFERROR(IF(VALUE(MID($A516,3,2))&lt;25,MID($A516,10,C516-8),""),MID(A516,3,C516)),"")</f>
        <v/>
      </c>
      <c r="H516" t="str">
        <f t="shared" ref="H516:H579" si="86">IFERROR(MID(A516,D516-1,3),"")</f>
        <v/>
      </c>
      <c r="I516" t="str">
        <f t="shared" si="81"/>
        <v/>
      </c>
      <c r="J516" t="str">
        <f t="shared" ref="J516:J542" si="87">IFERROR(IFERROR(IF(VALUE(MID($A516,3,2))&lt;25,MID($A516,D516+10,E516-8),""),MID(A516,D516+3,E516)),"")</f>
        <v/>
      </c>
      <c r="K516" t="str">
        <f t="shared" ref="K516:K579" si="88">IF(LEFT(A514,8)="Matchday",A514,K515)</f>
        <v>Matchday 35</v>
      </c>
      <c r="L516" t="str">
        <f t="shared" ref="L516:L579" si="89">IF(C516="","",IF(LEFT(A515,1)="[",A515,L515))</f>
        <v/>
      </c>
    </row>
    <row r="517" spans="1:12">
      <c r="A517" t="str">
        <f>IF(Sheet1!A520="","",Sheet1!A520)</f>
        <v xml:space="preserve">  19.45  Brighton &amp; Hove Albion FC  -  West Ham United FC</v>
      </c>
      <c r="C517">
        <f t="shared" si="82"/>
        <v>33</v>
      </c>
      <c r="D517">
        <f t="shared" si="80"/>
        <v>37</v>
      </c>
      <c r="E517">
        <f t="shared" si="83"/>
        <v>56</v>
      </c>
      <c r="F517" t="str">
        <f t="shared" si="84"/>
        <v>19.45</v>
      </c>
      <c r="G517" t="str">
        <f t="shared" si="85"/>
        <v>Brighton &amp; Hove Albion FC</v>
      </c>
      <c r="H517" t="str">
        <f t="shared" si="86"/>
        <v xml:space="preserve"> - </v>
      </c>
      <c r="I517" t="str">
        <f t="shared" si="81"/>
        <v/>
      </c>
      <c r="J517" t="str">
        <f t="shared" si="87"/>
        <v>m United FC</v>
      </c>
      <c r="K517" t="str">
        <f t="shared" si="88"/>
        <v>Matchday 36</v>
      </c>
      <c r="L517" t="str">
        <f t="shared" si="89"/>
        <v>[Tue May/11]</v>
      </c>
    </row>
    <row r="518" spans="1:12">
      <c r="A518" t="str">
        <f>IF(Sheet1!A521="","",Sheet1!A521)</f>
        <v xml:space="preserve">         Burnley FC               -  Leeds United FC</v>
      </c>
      <c r="C518">
        <f t="shared" si="82"/>
        <v>18</v>
      </c>
      <c r="D518">
        <f t="shared" si="80"/>
        <v>35</v>
      </c>
      <c r="E518">
        <f t="shared" si="83"/>
        <v>51</v>
      </c>
      <c r="F518" t="str">
        <f t="shared" si="84"/>
        <v/>
      </c>
      <c r="G518" t="str">
        <f t="shared" si="85"/>
        <v xml:space="preserve">       Burnley FC </v>
      </c>
      <c r="H518" t="str">
        <f t="shared" si="86"/>
        <v xml:space="preserve"> - </v>
      </c>
      <c r="I518" t="str">
        <f t="shared" si="81"/>
        <v/>
      </c>
      <c r="J518" t="str">
        <f t="shared" si="87"/>
        <v>Leeds United FC</v>
      </c>
      <c r="K518" t="str">
        <f t="shared" si="88"/>
        <v>Matchday 36</v>
      </c>
      <c r="L518" t="str">
        <f t="shared" si="89"/>
        <v>[Tue May/11]</v>
      </c>
    </row>
    <row r="519" spans="1:12">
      <c r="A519" t="str">
        <f>IF(Sheet1!A522="","",Sheet1!A522)</f>
        <v xml:space="preserve">         Everton FC               -  Sheffield United FC</v>
      </c>
      <c r="C519">
        <f t="shared" si="82"/>
        <v>18</v>
      </c>
      <c r="D519">
        <f t="shared" si="80"/>
        <v>35</v>
      </c>
      <c r="E519">
        <f t="shared" si="83"/>
        <v>55</v>
      </c>
      <c r="F519" t="str">
        <f t="shared" si="84"/>
        <v/>
      </c>
      <c r="G519" t="str">
        <f t="shared" si="85"/>
        <v xml:space="preserve">       Everton FC </v>
      </c>
      <c r="H519" t="str">
        <f t="shared" si="86"/>
        <v xml:space="preserve"> - </v>
      </c>
      <c r="I519" t="str">
        <f t="shared" si="81"/>
        <v/>
      </c>
      <c r="J519" t="str">
        <f t="shared" si="87"/>
        <v>Sheffield United FC</v>
      </c>
      <c r="K519" t="str">
        <f t="shared" si="88"/>
        <v>Matchday 36</v>
      </c>
      <c r="L519" t="str">
        <f t="shared" si="89"/>
        <v>[Tue May/11]</v>
      </c>
    </row>
    <row r="520" spans="1:12">
      <c r="A520" t="str">
        <f>IF(Sheet1!A523="","",Sheet1!A523)</f>
        <v xml:space="preserve">  20.00  Manchester United        -  Leicester City FC</v>
      </c>
      <c r="C520">
        <f t="shared" si="82"/>
        <v>28</v>
      </c>
      <c r="D520">
        <f t="shared" si="80"/>
        <v>35</v>
      </c>
      <c r="E520">
        <f t="shared" si="83"/>
        <v>56</v>
      </c>
      <c r="F520" t="str">
        <f t="shared" si="84"/>
        <v>20.00</v>
      </c>
      <c r="G520" t="str">
        <f t="shared" si="85"/>
        <v xml:space="preserve">Manchester United   </v>
      </c>
      <c r="H520" t="str">
        <f t="shared" si="86"/>
        <v xml:space="preserve"> - </v>
      </c>
      <c r="I520" t="str">
        <f t="shared" si="81"/>
        <v/>
      </c>
      <c r="J520" t="str">
        <f t="shared" si="87"/>
        <v>er City FC</v>
      </c>
      <c r="K520" t="str">
        <f t="shared" si="88"/>
        <v>Matchday 36</v>
      </c>
      <c r="L520" t="str">
        <f t="shared" si="89"/>
        <v>[Tue May/11]</v>
      </c>
    </row>
    <row r="521" spans="1:12">
      <c r="A521" t="str">
        <f>IF(Sheet1!A524="","",Sheet1!A524)</f>
        <v xml:space="preserve">         West Bromwich Albion FC  -  Liverpool FC</v>
      </c>
      <c r="C521">
        <f t="shared" si="82"/>
        <v>31</v>
      </c>
      <c r="D521">
        <f t="shared" si="80"/>
        <v>35</v>
      </c>
      <c r="E521">
        <f t="shared" si="83"/>
        <v>48</v>
      </c>
      <c r="F521" t="str">
        <f t="shared" si="84"/>
        <v/>
      </c>
      <c r="G521" t="str">
        <f t="shared" si="85"/>
        <v xml:space="preserve">       West Bromwich Albion FC </v>
      </c>
      <c r="H521" t="str">
        <f t="shared" si="86"/>
        <v xml:space="preserve"> - </v>
      </c>
      <c r="I521" t="str">
        <f t="shared" si="81"/>
        <v/>
      </c>
      <c r="J521" t="str">
        <f t="shared" si="87"/>
        <v>Liverpool FC</v>
      </c>
      <c r="K521" t="str">
        <f t="shared" si="88"/>
        <v>Matchday 36</v>
      </c>
      <c r="L521" t="str">
        <f t="shared" si="89"/>
        <v>[Tue May/11]</v>
      </c>
    </row>
    <row r="522" spans="1:12" hidden="1">
      <c r="A522" t="str">
        <f>IF(Sheet1!A525="","",Sheet1!A525)</f>
        <v>[Wed May/12]</v>
      </c>
      <c r="C522" t="str">
        <f t="shared" si="82"/>
        <v/>
      </c>
      <c r="D522" t="str">
        <f t="shared" si="80"/>
        <v/>
      </c>
      <c r="E522" t="str">
        <f t="shared" si="83"/>
        <v/>
      </c>
      <c r="F522" t="str">
        <f t="shared" si="84"/>
        <v/>
      </c>
      <c r="G522" t="str">
        <f t="shared" si="85"/>
        <v/>
      </c>
      <c r="H522" t="str">
        <f t="shared" si="86"/>
        <v/>
      </c>
      <c r="I522" t="str">
        <f t="shared" si="81"/>
        <v/>
      </c>
      <c r="J522" t="str">
        <f t="shared" si="87"/>
        <v/>
      </c>
      <c r="K522" t="str">
        <f t="shared" si="88"/>
        <v>Matchday 36</v>
      </c>
      <c r="L522" t="str">
        <f t="shared" si="89"/>
        <v/>
      </c>
    </row>
    <row r="523" spans="1:12">
      <c r="A523" t="str">
        <f>IF(Sheet1!A526="","",Sheet1!A526)</f>
        <v xml:space="preserve">  19.45  Chelsea FC               -  Arsenal FC</v>
      </c>
      <c r="C523">
        <f t="shared" si="82"/>
        <v>18</v>
      </c>
      <c r="D523">
        <f t="shared" si="80"/>
        <v>35</v>
      </c>
      <c r="E523">
        <f t="shared" si="83"/>
        <v>46</v>
      </c>
      <c r="F523" t="str">
        <f t="shared" si="84"/>
        <v>19.45</v>
      </c>
      <c r="G523" t="str">
        <f t="shared" si="85"/>
        <v>Chelsea FC</v>
      </c>
      <c r="H523" t="str">
        <f t="shared" si="86"/>
        <v xml:space="preserve"> - </v>
      </c>
      <c r="I523" t="str">
        <f t="shared" si="81"/>
        <v/>
      </c>
      <c r="J523" t="str">
        <f t="shared" si="87"/>
        <v xml:space="preserve"> FC</v>
      </c>
      <c r="K523" t="str">
        <f t="shared" si="88"/>
        <v>Matchday 36</v>
      </c>
      <c r="L523" t="str">
        <f t="shared" si="89"/>
        <v>[Wed May/12]</v>
      </c>
    </row>
    <row r="524" spans="1:12">
      <c r="A524" t="str">
        <f>IF(Sheet1!A527="","",Sheet1!A527)</f>
        <v xml:space="preserve">         Newcastle United FC      -  Manchester City FC</v>
      </c>
      <c r="C524">
        <f t="shared" si="82"/>
        <v>27</v>
      </c>
      <c r="D524">
        <f t="shared" si="80"/>
        <v>35</v>
      </c>
      <c r="E524">
        <f t="shared" si="83"/>
        <v>54</v>
      </c>
      <c r="F524" t="str">
        <f t="shared" si="84"/>
        <v/>
      </c>
      <c r="G524" t="str">
        <f t="shared" si="85"/>
        <v xml:space="preserve">       Newcastle United FC </v>
      </c>
      <c r="H524" t="str">
        <f t="shared" si="86"/>
        <v xml:space="preserve"> - </v>
      </c>
      <c r="I524" t="str">
        <f t="shared" si="81"/>
        <v/>
      </c>
      <c r="J524" t="str">
        <f t="shared" si="87"/>
        <v>Manchester City FC</v>
      </c>
      <c r="K524" t="str">
        <f t="shared" si="88"/>
        <v>Matchday 36</v>
      </c>
      <c r="L524" t="str">
        <f t="shared" si="89"/>
        <v>[Wed May/12]</v>
      </c>
    </row>
    <row r="525" spans="1:12">
      <c r="A525" t="str">
        <f>IF(Sheet1!A528="","",Sheet1!A528)</f>
        <v xml:space="preserve">         Southampton FC           -  Fulham FC</v>
      </c>
      <c r="C525">
        <f t="shared" si="82"/>
        <v>22</v>
      </c>
      <c r="D525">
        <f t="shared" si="80"/>
        <v>35</v>
      </c>
      <c r="E525">
        <f t="shared" si="83"/>
        <v>45</v>
      </c>
      <c r="F525" t="str">
        <f t="shared" si="84"/>
        <v/>
      </c>
      <c r="G525" t="str">
        <f t="shared" si="85"/>
        <v xml:space="preserve">       Southampton FC </v>
      </c>
      <c r="H525" t="str">
        <f t="shared" si="86"/>
        <v xml:space="preserve"> - </v>
      </c>
      <c r="I525" t="str">
        <f t="shared" si="81"/>
        <v/>
      </c>
      <c r="J525" t="str">
        <f t="shared" si="87"/>
        <v>Fulham FC</v>
      </c>
      <c r="K525" t="str">
        <f t="shared" si="88"/>
        <v>Matchday 36</v>
      </c>
      <c r="L525" t="str">
        <f t="shared" si="89"/>
        <v>[Wed May/12]</v>
      </c>
    </row>
    <row r="526" spans="1:12">
      <c r="A526" t="str">
        <f>IF(Sheet1!A529="","",Sheet1!A529)</f>
        <v xml:space="preserve">         Tottenham Hotspur FC     -  Wolverhampton Wanderers FC</v>
      </c>
      <c r="C526">
        <f t="shared" si="82"/>
        <v>28</v>
      </c>
      <c r="D526">
        <f t="shared" si="80"/>
        <v>35</v>
      </c>
      <c r="E526">
        <f t="shared" si="83"/>
        <v>62</v>
      </c>
      <c r="F526" t="str">
        <f t="shared" si="84"/>
        <v/>
      </c>
      <c r="G526" t="str">
        <f t="shared" si="85"/>
        <v xml:space="preserve">       Tottenham Hotspur FC </v>
      </c>
      <c r="H526" t="str">
        <f t="shared" si="86"/>
        <v xml:space="preserve"> - </v>
      </c>
      <c r="I526" t="str">
        <f t="shared" si="81"/>
        <v/>
      </c>
      <c r="J526" t="str">
        <f t="shared" si="87"/>
        <v>Wolverhampton Wanderers FC</v>
      </c>
      <c r="K526" t="str">
        <f t="shared" si="88"/>
        <v>Matchday 36</v>
      </c>
      <c r="L526" t="str">
        <f t="shared" si="89"/>
        <v>[Wed May/12]</v>
      </c>
    </row>
    <row r="527" spans="1:12">
      <c r="A527" t="str">
        <f>IF(Sheet1!A530="","",Sheet1!A530)</f>
        <v xml:space="preserve">  20.00  Crystal Palace FC        -  Aston Villa FC</v>
      </c>
      <c r="C527">
        <f t="shared" si="82"/>
        <v>25</v>
      </c>
      <c r="D527">
        <f t="shared" si="80"/>
        <v>35</v>
      </c>
      <c r="E527">
        <f t="shared" si="83"/>
        <v>50</v>
      </c>
      <c r="F527" t="str">
        <f t="shared" si="84"/>
        <v>20.00</v>
      </c>
      <c r="G527" t="str">
        <f t="shared" si="85"/>
        <v>Crystal Palace FC</v>
      </c>
      <c r="H527" t="str">
        <f t="shared" si="86"/>
        <v xml:space="preserve"> - </v>
      </c>
      <c r="I527" t="str">
        <f t="shared" si="81"/>
        <v/>
      </c>
      <c r="J527" t="str">
        <f t="shared" si="87"/>
        <v>illa FC</v>
      </c>
      <c r="K527" t="str">
        <f t="shared" si="88"/>
        <v>Matchday 36</v>
      </c>
      <c r="L527" t="str">
        <f t="shared" si="89"/>
        <v>[Wed May/12]</v>
      </c>
    </row>
    <row r="528" spans="1:12" hidden="1">
      <c r="A528" t="str">
        <f>IF(Sheet1!A531="","",Sheet1!A531)</f>
        <v/>
      </c>
      <c r="C528" t="str">
        <f t="shared" si="82"/>
        <v/>
      </c>
      <c r="D528" t="str">
        <f t="shared" si="80"/>
        <v/>
      </c>
      <c r="E528" t="str">
        <f t="shared" si="83"/>
        <v/>
      </c>
      <c r="F528" t="str">
        <f t="shared" si="84"/>
        <v/>
      </c>
      <c r="G528" t="str">
        <f t="shared" si="85"/>
        <v/>
      </c>
      <c r="H528" t="str">
        <f t="shared" si="86"/>
        <v/>
      </c>
      <c r="I528" t="str">
        <f t="shared" si="81"/>
        <v/>
      </c>
      <c r="J528" t="str">
        <f t="shared" si="87"/>
        <v/>
      </c>
      <c r="K528" t="str">
        <f t="shared" si="88"/>
        <v>Matchday 36</v>
      </c>
      <c r="L528" t="str">
        <f t="shared" si="89"/>
        <v/>
      </c>
    </row>
    <row r="529" spans="1:12" hidden="1">
      <c r="A529" t="str">
        <f>IF(Sheet1!A532="","",Sheet1!A532)</f>
        <v/>
      </c>
      <c r="C529" t="str">
        <f t="shared" si="82"/>
        <v/>
      </c>
      <c r="D529" t="str">
        <f t="shared" si="80"/>
        <v/>
      </c>
      <c r="E529" t="str">
        <f t="shared" si="83"/>
        <v/>
      </c>
      <c r="F529" t="str">
        <f t="shared" si="84"/>
        <v/>
      </c>
      <c r="G529" t="str">
        <f t="shared" si="85"/>
        <v/>
      </c>
      <c r="H529" t="str">
        <f t="shared" si="86"/>
        <v/>
      </c>
      <c r="I529" t="str">
        <f t="shared" si="81"/>
        <v/>
      </c>
      <c r="J529" t="str">
        <f t="shared" si="87"/>
        <v/>
      </c>
      <c r="K529" t="str">
        <f t="shared" si="88"/>
        <v>Matchday 36</v>
      </c>
      <c r="L529" t="str">
        <f t="shared" si="89"/>
        <v/>
      </c>
    </row>
    <row r="530" spans="1:12" hidden="1">
      <c r="A530" t="str">
        <f>IF(Sheet1!A533="","",Sheet1!A533)</f>
        <v>Matchday 37</v>
      </c>
      <c r="C530" t="str">
        <f t="shared" si="82"/>
        <v/>
      </c>
      <c r="D530" t="str">
        <f t="shared" si="80"/>
        <v/>
      </c>
      <c r="E530" t="str">
        <f t="shared" si="83"/>
        <v/>
      </c>
      <c r="F530" t="str">
        <f t="shared" si="84"/>
        <v/>
      </c>
      <c r="G530" t="str">
        <f t="shared" si="85"/>
        <v/>
      </c>
      <c r="H530" t="str">
        <f t="shared" si="86"/>
        <v/>
      </c>
      <c r="I530" t="str">
        <f t="shared" si="81"/>
        <v/>
      </c>
      <c r="J530" t="str">
        <f t="shared" si="87"/>
        <v/>
      </c>
      <c r="K530" t="str">
        <f t="shared" si="88"/>
        <v>Matchday 36</v>
      </c>
      <c r="L530" t="str">
        <f t="shared" si="89"/>
        <v/>
      </c>
    </row>
    <row r="531" spans="1:12" hidden="1">
      <c r="A531" t="str">
        <f>IF(Sheet1!A534="","",Sheet1!A534)</f>
        <v>[Sat May/15]</v>
      </c>
      <c r="C531" t="str">
        <f t="shared" si="82"/>
        <v/>
      </c>
      <c r="D531" t="str">
        <f t="shared" si="80"/>
        <v/>
      </c>
      <c r="E531" t="str">
        <f t="shared" si="83"/>
        <v/>
      </c>
      <c r="F531" t="str">
        <f t="shared" si="84"/>
        <v/>
      </c>
      <c r="G531" t="str">
        <f t="shared" si="85"/>
        <v/>
      </c>
      <c r="H531" t="str">
        <f t="shared" si="86"/>
        <v/>
      </c>
      <c r="I531" t="str">
        <f t="shared" si="81"/>
        <v/>
      </c>
      <c r="J531" t="str">
        <f t="shared" si="87"/>
        <v/>
      </c>
      <c r="K531" t="str">
        <f t="shared" si="88"/>
        <v>Matchday 36</v>
      </c>
      <c r="L531" t="str">
        <f t="shared" si="89"/>
        <v/>
      </c>
    </row>
    <row r="532" spans="1:12">
      <c r="A532" t="str">
        <f>IF(Sheet1!A535="","",Sheet1!A535)</f>
        <v xml:space="preserve">  Brighton &amp; Hove Albion FC  -  Manchester City FC</v>
      </c>
      <c r="C532">
        <f t="shared" si="82"/>
        <v>26</v>
      </c>
      <c r="D532">
        <f t="shared" si="80"/>
        <v>30</v>
      </c>
      <c r="E532">
        <f t="shared" si="83"/>
        <v>49</v>
      </c>
      <c r="F532" t="str">
        <f t="shared" si="84"/>
        <v/>
      </c>
      <c r="G532" t="str">
        <f t="shared" si="85"/>
        <v xml:space="preserve">Brighton &amp; Hove Albion FC </v>
      </c>
      <c r="H532" t="str">
        <f t="shared" si="86"/>
        <v xml:space="preserve"> - </v>
      </c>
      <c r="I532" t="str">
        <f t="shared" si="81"/>
        <v/>
      </c>
      <c r="J532" t="str">
        <f t="shared" si="87"/>
        <v>Manchester City FC</v>
      </c>
      <c r="K532" t="str">
        <f t="shared" si="88"/>
        <v>Matchday 37</v>
      </c>
      <c r="L532" t="str">
        <f t="shared" si="89"/>
        <v>[Sat May/15]</v>
      </c>
    </row>
    <row r="533" spans="1:12">
      <c r="A533" t="str">
        <f>IF(Sheet1!A536="","",Sheet1!A536)</f>
        <v xml:space="preserve">  Burnley FC               -  Liverpool FC</v>
      </c>
      <c r="C533">
        <f t="shared" si="82"/>
        <v>11</v>
      </c>
      <c r="D533">
        <f t="shared" si="80"/>
        <v>28</v>
      </c>
      <c r="E533">
        <f t="shared" si="83"/>
        <v>41</v>
      </c>
      <c r="F533" t="str">
        <f t="shared" si="84"/>
        <v/>
      </c>
      <c r="G533" t="str">
        <f t="shared" si="85"/>
        <v xml:space="preserve">Burnley FC </v>
      </c>
      <c r="H533" t="str">
        <f t="shared" si="86"/>
        <v xml:space="preserve"> - </v>
      </c>
      <c r="I533" t="str">
        <f t="shared" si="81"/>
        <v/>
      </c>
      <c r="J533" t="str">
        <f t="shared" si="87"/>
        <v>Liverpool FC</v>
      </c>
      <c r="K533" t="str">
        <f t="shared" si="88"/>
        <v>Matchday 37</v>
      </c>
      <c r="L533" t="str">
        <f t="shared" si="89"/>
        <v>[Sat May/15]</v>
      </c>
    </row>
    <row r="534" spans="1:12">
      <c r="A534" t="str">
        <f>IF(Sheet1!A537="","",Sheet1!A537)</f>
        <v xml:space="preserve">  Chelsea FC               -  Leicester City FC</v>
      </c>
      <c r="C534">
        <f t="shared" si="82"/>
        <v>11</v>
      </c>
      <c r="D534">
        <f t="shared" si="80"/>
        <v>28</v>
      </c>
      <c r="E534">
        <f t="shared" si="83"/>
        <v>46</v>
      </c>
      <c r="F534" t="str">
        <f t="shared" si="84"/>
        <v/>
      </c>
      <c r="G534" t="str">
        <f t="shared" si="85"/>
        <v xml:space="preserve">Chelsea FC </v>
      </c>
      <c r="H534" t="str">
        <f t="shared" si="86"/>
        <v xml:space="preserve"> - </v>
      </c>
      <c r="I534" t="str">
        <f t="shared" si="81"/>
        <v/>
      </c>
      <c r="J534" t="str">
        <f t="shared" si="87"/>
        <v>Leicester City FC</v>
      </c>
      <c r="K534" t="str">
        <f t="shared" si="88"/>
        <v>Matchday 37</v>
      </c>
      <c r="L534" t="str">
        <f t="shared" si="89"/>
        <v>[Sat May/15]</v>
      </c>
    </row>
    <row r="535" spans="1:12">
      <c r="A535" t="str">
        <f>IF(Sheet1!A538="","",Sheet1!A538)</f>
        <v xml:space="preserve">  Crystal Palace FC        -  Arsenal FC</v>
      </c>
      <c r="C535">
        <f t="shared" si="82"/>
        <v>18</v>
      </c>
      <c r="D535">
        <f t="shared" si="80"/>
        <v>28</v>
      </c>
      <c r="E535">
        <f t="shared" si="83"/>
        <v>39</v>
      </c>
      <c r="F535" t="str">
        <f t="shared" si="84"/>
        <v/>
      </c>
      <c r="G535" t="str">
        <f t="shared" si="85"/>
        <v xml:space="preserve">Crystal Palace FC </v>
      </c>
      <c r="H535" t="str">
        <f t="shared" si="86"/>
        <v xml:space="preserve"> - </v>
      </c>
      <c r="I535" t="str">
        <f t="shared" si="81"/>
        <v/>
      </c>
      <c r="J535" t="str">
        <f t="shared" si="87"/>
        <v>Arsenal FC</v>
      </c>
      <c r="K535" t="str">
        <f t="shared" si="88"/>
        <v>Matchday 37</v>
      </c>
      <c r="L535" t="str">
        <f t="shared" si="89"/>
        <v>[Sat May/15]</v>
      </c>
    </row>
    <row r="536" spans="1:12">
      <c r="A536" t="str">
        <f>IF(Sheet1!A539="","",Sheet1!A539)</f>
        <v xml:space="preserve">  Everton FC               -  Wolverhampton Wanderers FC</v>
      </c>
      <c r="C536">
        <f t="shared" si="82"/>
        <v>11</v>
      </c>
      <c r="D536">
        <f t="shared" si="80"/>
        <v>28</v>
      </c>
      <c r="E536">
        <f t="shared" si="83"/>
        <v>55</v>
      </c>
      <c r="F536" t="str">
        <f t="shared" si="84"/>
        <v/>
      </c>
      <c r="G536" t="str">
        <f t="shared" si="85"/>
        <v xml:space="preserve">Everton FC </v>
      </c>
      <c r="H536" t="str">
        <f t="shared" si="86"/>
        <v xml:space="preserve"> - </v>
      </c>
      <c r="I536" t="str">
        <f t="shared" si="81"/>
        <v/>
      </c>
      <c r="J536" t="str">
        <f t="shared" si="87"/>
        <v>Wolverhampton Wanderers FC</v>
      </c>
      <c r="K536" t="str">
        <f t="shared" si="88"/>
        <v>Matchday 37</v>
      </c>
      <c r="L536" t="str">
        <f t="shared" si="89"/>
        <v>[Sat May/15]</v>
      </c>
    </row>
    <row r="537" spans="1:12">
      <c r="A537" t="str">
        <f>IF(Sheet1!A540="","",Sheet1!A540)</f>
        <v xml:space="preserve">  Manchester United        -  Fulham FC</v>
      </c>
      <c r="C537">
        <f t="shared" si="82"/>
        <v>21</v>
      </c>
      <c r="D537">
        <f t="shared" si="80"/>
        <v>28</v>
      </c>
      <c r="E537">
        <f t="shared" si="83"/>
        <v>41</v>
      </c>
      <c r="F537" t="str">
        <f t="shared" si="84"/>
        <v/>
      </c>
      <c r="G537" t="str">
        <f t="shared" si="85"/>
        <v xml:space="preserve">Manchester United    </v>
      </c>
      <c r="H537" t="str">
        <f t="shared" si="86"/>
        <v xml:space="preserve"> - </v>
      </c>
      <c r="I537" t="str">
        <f t="shared" si="81"/>
        <v/>
      </c>
      <c r="J537" t="str">
        <f t="shared" si="87"/>
        <v>Fulham FC</v>
      </c>
      <c r="K537" t="str">
        <f t="shared" si="88"/>
        <v>Matchday 37</v>
      </c>
      <c r="L537" t="str">
        <f t="shared" si="89"/>
        <v>[Sat May/15]</v>
      </c>
    </row>
    <row r="538" spans="1:12">
      <c r="A538" t="str">
        <f>IF(Sheet1!A541="","",Sheet1!A541)</f>
        <v xml:space="preserve">  Newcastle United FC      -  Sheffield United FC</v>
      </c>
      <c r="C538">
        <f t="shared" si="82"/>
        <v>20</v>
      </c>
      <c r="D538">
        <f t="shared" si="80"/>
        <v>28</v>
      </c>
      <c r="E538">
        <f t="shared" si="83"/>
        <v>48</v>
      </c>
      <c r="F538" t="str">
        <f t="shared" si="84"/>
        <v/>
      </c>
      <c r="G538" t="str">
        <f t="shared" si="85"/>
        <v xml:space="preserve">Newcastle United FC </v>
      </c>
      <c r="H538" t="str">
        <f t="shared" si="86"/>
        <v xml:space="preserve"> - </v>
      </c>
      <c r="I538" t="str">
        <f t="shared" si="81"/>
        <v/>
      </c>
      <c r="J538" t="str">
        <f t="shared" si="87"/>
        <v>Sheffield United FC</v>
      </c>
      <c r="K538" t="str">
        <f t="shared" si="88"/>
        <v>Matchday 37</v>
      </c>
      <c r="L538" t="str">
        <f t="shared" si="89"/>
        <v>[Sat May/15]</v>
      </c>
    </row>
    <row r="539" spans="1:12">
      <c r="A539" t="str">
        <f>IF(Sheet1!A542="","",Sheet1!A542)</f>
        <v xml:space="preserve">  Southampton FC           -  Leeds United FC</v>
      </c>
      <c r="C539">
        <f t="shared" si="82"/>
        <v>15</v>
      </c>
      <c r="D539">
        <f t="shared" si="80"/>
        <v>28</v>
      </c>
      <c r="E539">
        <f t="shared" si="83"/>
        <v>44</v>
      </c>
      <c r="F539" t="str">
        <f t="shared" si="84"/>
        <v/>
      </c>
      <c r="G539" t="str">
        <f t="shared" si="85"/>
        <v xml:space="preserve">Southampton FC </v>
      </c>
      <c r="H539" t="str">
        <f t="shared" si="86"/>
        <v xml:space="preserve"> - </v>
      </c>
      <c r="I539" t="str">
        <f t="shared" si="81"/>
        <v/>
      </c>
      <c r="J539" t="str">
        <f t="shared" si="87"/>
        <v>Leeds United FC</v>
      </c>
      <c r="K539" t="str">
        <f t="shared" si="88"/>
        <v>Matchday 37</v>
      </c>
      <c r="L539" t="str">
        <f t="shared" si="89"/>
        <v>[Sat May/15]</v>
      </c>
    </row>
    <row r="540" spans="1:12">
      <c r="A540" t="str">
        <f>IF(Sheet1!A543="","",Sheet1!A543)</f>
        <v xml:space="preserve">  Tottenham Hotspur FC     -  Aston Villa FC</v>
      </c>
      <c r="C540">
        <f t="shared" si="82"/>
        <v>21</v>
      </c>
      <c r="D540">
        <f t="shared" si="80"/>
        <v>28</v>
      </c>
      <c r="E540">
        <f t="shared" si="83"/>
        <v>43</v>
      </c>
      <c r="F540" t="str">
        <f t="shared" si="84"/>
        <v/>
      </c>
      <c r="G540" t="str">
        <f t="shared" si="85"/>
        <v xml:space="preserve">Tottenham Hotspur FC </v>
      </c>
      <c r="H540" t="str">
        <f t="shared" si="86"/>
        <v xml:space="preserve"> - </v>
      </c>
      <c r="I540" t="str">
        <f t="shared" si="81"/>
        <v/>
      </c>
      <c r="J540" t="str">
        <f t="shared" si="87"/>
        <v>Aston Villa FC</v>
      </c>
      <c r="K540" t="str">
        <f t="shared" si="88"/>
        <v>Matchday 37</v>
      </c>
      <c r="L540" t="str">
        <f t="shared" si="89"/>
        <v>[Sat May/15]</v>
      </c>
    </row>
    <row r="541" spans="1:12">
      <c r="A541" t="str">
        <f>IF(Sheet1!A544="","",Sheet1!A544)</f>
        <v xml:space="preserve">  West Bromwich Albion FC  -  West Ham United FC</v>
      </c>
      <c r="C541">
        <f t="shared" si="82"/>
        <v>24</v>
      </c>
      <c r="D541">
        <f t="shared" si="80"/>
        <v>28</v>
      </c>
      <c r="E541">
        <f t="shared" si="83"/>
        <v>47</v>
      </c>
      <c r="F541" t="str">
        <f t="shared" si="84"/>
        <v/>
      </c>
      <c r="G541" t="str">
        <f t="shared" si="85"/>
        <v xml:space="preserve">West Bromwich Albion FC </v>
      </c>
      <c r="H541" t="str">
        <f t="shared" si="86"/>
        <v xml:space="preserve"> - </v>
      </c>
      <c r="I541" t="str">
        <f t="shared" si="81"/>
        <v/>
      </c>
      <c r="J541" t="str">
        <f t="shared" si="87"/>
        <v>West Ham United FC</v>
      </c>
      <c r="K541" t="str">
        <f t="shared" si="88"/>
        <v>Matchday 37</v>
      </c>
      <c r="L541" t="str">
        <f t="shared" si="89"/>
        <v>[Sat May/15]</v>
      </c>
    </row>
    <row r="542" spans="1:12">
      <c r="A542" t="str">
        <f>IF(Sheet1!A558="","",Sheet1!A558)</f>
        <v xml:space="preserve">         Wolverhampton Wanderers FC  -  Manchester United</v>
      </c>
      <c r="C542">
        <f t="shared" si="82"/>
        <v>34</v>
      </c>
      <c r="D542">
        <f t="shared" si="80"/>
        <v>38</v>
      </c>
      <c r="E542">
        <f t="shared" si="83"/>
        <v>59</v>
      </c>
      <c r="F542" t="str">
        <f t="shared" si="84"/>
        <v/>
      </c>
      <c r="G542" t="str">
        <f t="shared" si="85"/>
        <v xml:space="preserve">       Wolverhampton Wanderers FC </v>
      </c>
      <c r="H542" t="str">
        <f t="shared" si="86"/>
        <v xml:space="preserve"> - </v>
      </c>
      <c r="I542" t="str">
        <f t="shared" si="81"/>
        <v/>
      </c>
      <c r="J542" t="str">
        <f t="shared" si="87"/>
        <v>Manchester United</v>
      </c>
      <c r="K542" t="str">
        <f t="shared" si="88"/>
        <v>Matchday 37</v>
      </c>
      <c r="L542" t="str">
        <f t="shared" si="89"/>
        <v>[Sat May/15]</v>
      </c>
    </row>
    <row r="543" spans="1:12" hidden="1">
      <c r="A543" t="str">
        <f>IF(Sheet1!A559="","",Sheet1!A559)</f>
        <v/>
      </c>
      <c r="C543" t="str">
        <f t="shared" si="82"/>
        <v/>
      </c>
      <c r="D543" t="str">
        <f t="shared" si="80"/>
        <v/>
      </c>
      <c r="E543" t="str">
        <f t="shared" si="83"/>
        <v/>
      </c>
      <c r="F543" t="str">
        <f t="shared" si="84"/>
        <v/>
      </c>
      <c r="G543" t="str">
        <f t="shared" si="85"/>
        <v/>
      </c>
      <c r="H543" t="str">
        <f t="shared" si="86"/>
        <v/>
      </c>
      <c r="I543" t="str">
        <f t="shared" si="81"/>
        <v/>
      </c>
      <c r="K543" t="str">
        <f t="shared" si="88"/>
        <v>Matchday 37</v>
      </c>
      <c r="L543" t="str">
        <f t="shared" si="89"/>
        <v/>
      </c>
    </row>
    <row r="544" spans="1:12" hidden="1">
      <c r="A544" t="str">
        <f>IF(Sheet1!A560="","",Sheet1!A560)</f>
        <v/>
      </c>
      <c r="C544" t="str">
        <f t="shared" si="82"/>
        <v/>
      </c>
      <c r="D544" t="str">
        <f t="shared" si="80"/>
        <v/>
      </c>
      <c r="E544" t="str">
        <f t="shared" si="83"/>
        <v/>
      </c>
      <c r="F544" t="str">
        <f t="shared" si="84"/>
        <v/>
      </c>
      <c r="G544" t="str">
        <f t="shared" si="85"/>
        <v/>
      </c>
      <c r="H544" t="str">
        <f t="shared" si="86"/>
        <v/>
      </c>
      <c r="I544" t="str">
        <f t="shared" si="81"/>
        <v/>
      </c>
      <c r="K544" t="str">
        <f t="shared" si="88"/>
        <v>Matchday 37</v>
      </c>
      <c r="L544" t="str">
        <f t="shared" si="89"/>
        <v/>
      </c>
    </row>
    <row r="545" spans="1:12" hidden="1">
      <c r="A545" t="str">
        <f>IF(Sheet1!A561="","",Sheet1!A561)</f>
        <v/>
      </c>
      <c r="C545" t="str">
        <f t="shared" si="82"/>
        <v/>
      </c>
      <c r="D545" t="str">
        <f t="shared" si="80"/>
        <v/>
      </c>
      <c r="E545" t="str">
        <f t="shared" si="83"/>
        <v/>
      </c>
      <c r="F545" t="str">
        <f t="shared" si="84"/>
        <v/>
      </c>
      <c r="G545" t="str">
        <f t="shared" si="85"/>
        <v/>
      </c>
      <c r="H545" t="str">
        <f t="shared" si="86"/>
        <v/>
      </c>
      <c r="I545" t="str">
        <f t="shared" si="81"/>
        <v/>
      </c>
      <c r="K545" t="str">
        <f t="shared" si="88"/>
        <v>Matchday 37</v>
      </c>
      <c r="L545" t="str">
        <f t="shared" si="89"/>
        <v/>
      </c>
    </row>
    <row r="546" spans="1:12" hidden="1">
      <c r="A546" t="str">
        <f>IF(Sheet1!A562="","",Sheet1!A562)</f>
        <v/>
      </c>
      <c r="C546" t="str">
        <f t="shared" si="82"/>
        <v/>
      </c>
      <c r="D546" t="str">
        <f t="shared" si="80"/>
        <v/>
      </c>
      <c r="E546" t="str">
        <f t="shared" si="83"/>
        <v/>
      </c>
      <c r="F546" t="str">
        <f t="shared" si="84"/>
        <v/>
      </c>
      <c r="G546" t="str">
        <f t="shared" si="85"/>
        <v/>
      </c>
      <c r="H546" t="str">
        <f t="shared" si="86"/>
        <v/>
      </c>
      <c r="I546" t="str">
        <f t="shared" si="81"/>
        <v/>
      </c>
      <c r="K546" t="str">
        <f t="shared" si="88"/>
        <v>Matchday 37</v>
      </c>
      <c r="L546" t="str">
        <f t="shared" si="89"/>
        <v/>
      </c>
    </row>
    <row r="547" spans="1:12" hidden="1">
      <c r="A547" t="str">
        <f>IF(Sheet1!A563="","",Sheet1!A563)</f>
        <v/>
      </c>
      <c r="C547" t="str">
        <f t="shared" si="82"/>
        <v/>
      </c>
      <c r="D547" t="str">
        <f t="shared" si="80"/>
        <v/>
      </c>
      <c r="E547" t="str">
        <f t="shared" si="83"/>
        <v/>
      </c>
      <c r="F547" t="str">
        <f t="shared" si="84"/>
        <v/>
      </c>
      <c r="G547" t="str">
        <f t="shared" si="85"/>
        <v/>
      </c>
      <c r="H547" t="str">
        <f t="shared" si="86"/>
        <v/>
      </c>
      <c r="I547" t="str">
        <f t="shared" si="81"/>
        <v/>
      </c>
      <c r="K547" t="str">
        <f t="shared" si="88"/>
        <v>Matchday 37</v>
      </c>
      <c r="L547" t="str">
        <f t="shared" si="89"/>
        <v/>
      </c>
    </row>
    <row r="548" spans="1:12" hidden="1">
      <c r="A548" t="str">
        <f>IF(Sheet1!A564="","",Sheet1!A564)</f>
        <v/>
      </c>
      <c r="C548" t="str">
        <f t="shared" si="82"/>
        <v/>
      </c>
      <c r="D548" t="str">
        <f t="shared" si="80"/>
        <v/>
      </c>
      <c r="E548" t="str">
        <f t="shared" si="83"/>
        <v/>
      </c>
      <c r="F548" t="str">
        <f t="shared" si="84"/>
        <v/>
      </c>
      <c r="G548" t="str">
        <f t="shared" si="85"/>
        <v/>
      </c>
      <c r="H548" t="str">
        <f t="shared" si="86"/>
        <v/>
      </c>
      <c r="I548" t="str">
        <f t="shared" si="81"/>
        <v/>
      </c>
      <c r="K548" t="str">
        <f t="shared" si="88"/>
        <v>Matchday 37</v>
      </c>
      <c r="L548" t="str">
        <f t="shared" si="89"/>
        <v/>
      </c>
    </row>
    <row r="549" spans="1:12" hidden="1">
      <c r="A549" t="str">
        <f>IF(Sheet1!A565="","",Sheet1!A565)</f>
        <v/>
      </c>
      <c r="C549" t="str">
        <f t="shared" si="82"/>
        <v/>
      </c>
      <c r="D549" t="str">
        <f t="shared" si="80"/>
        <v/>
      </c>
      <c r="E549" t="str">
        <f t="shared" si="83"/>
        <v/>
      </c>
      <c r="F549" t="str">
        <f t="shared" si="84"/>
        <v/>
      </c>
      <c r="G549" t="str">
        <f t="shared" si="85"/>
        <v/>
      </c>
      <c r="H549" t="str">
        <f t="shared" si="86"/>
        <v/>
      </c>
      <c r="I549" t="str">
        <f t="shared" si="81"/>
        <v/>
      </c>
      <c r="K549" t="str">
        <f t="shared" si="88"/>
        <v>Matchday 37</v>
      </c>
      <c r="L549" t="str">
        <f t="shared" si="89"/>
        <v/>
      </c>
    </row>
    <row r="550" spans="1:12" hidden="1">
      <c r="A550" t="str">
        <f>IF(Sheet1!A566="","",Sheet1!A566)</f>
        <v/>
      </c>
      <c r="C550" t="str">
        <f t="shared" si="82"/>
        <v/>
      </c>
      <c r="D550" t="str">
        <f t="shared" si="80"/>
        <v/>
      </c>
      <c r="E550" t="str">
        <f t="shared" si="83"/>
        <v/>
      </c>
      <c r="F550" t="str">
        <f t="shared" si="84"/>
        <v/>
      </c>
      <c r="G550" t="str">
        <f t="shared" si="85"/>
        <v/>
      </c>
      <c r="H550" t="str">
        <f t="shared" si="86"/>
        <v/>
      </c>
      <c r="I550" t="str">
        <f t="shared" si="81"/>
        <v/>
      </c>
      <c r="K550" t="str">
        <f t="shared" si="88"/>
        <v>Matchday 37</v>
      </c>
      <c r="L550" t="str">
        <f t="shared" si="89"/>
        <v/>
      </c>
    </row>
    <row r="551" spans="1:12" hidden="1">
      <c r="A551" t="str">
        <f>IF(Sheet1!A567="","",Sheet1!A567)</f>
        <v/>
      </c>
      <c r="C551" t="str">
        <f t="shared" si="82"/>
        <v/>
      </c>
      <c r="D551" t="str">
        <f t="shared" si="80"/>
        <v/>
      </c>
      <c r="E551" t="str">
        <f t="shared" si="83"/>
        <v/>
      </c>
      <c r="F551" t="str">
        <f t="shared" si="84"/>
        <v/>
      </c>
      <c r="G551" t="str">
        <f t="shared" si="85"/>
        <v/>
      </c>
      <c r="H551" t="str">
        <f t="shared" si="86"/>
        <v/>
      </c>
      <c r="I551" t="str">
        <f t="shared" si="81"/>
        <v/>
      </c>
      <c r="K551" t="str">
        <f t="shared" si="88"/>
        <v>Matchday 37</v>
      </c>
      <c r="L551" t="str">
        <f t="shared" si="89"/>
        <v/>
      </c>
    </row>
    <row r="552" spans="1:12" hidden="1">
      <c r="A552" t="str">
        <f>IF(Sheet1!A568="","",Sheet1!A568)</f>
        <v/>
      </c>
      <c r="C552" t="str">
        <f t="shared" si="82"/>
        <v/>
      </c>
      <c r="D552" t="str">
        <f t="shared" si="80"/>
        <v/>
      </c>
      <c r="E552" t="str">
        <f t="shared" si="83"/>
        <v/>
      </c>
      <c r="F552" t="str">
        <f t="shared" si="84"/>
        <v/>
      </c>
      <c r="G552" t="str">
        <f t="shared" si="85"/>
        <v/>
      </c>
      <c r="H552" t="str">
        <f t="shared" si="86"/>
        <v/>
      </c>
      <c r="I552" t="str">
        <f t="shared" si="81"/>
        <v/>
      </c>
      <c r="K552" t="str">
        <f t="shared" si="88"/>
        <v>Matchday 37</v>
      </c>
      <c r="L552" t="str">
        <f t="shared" si="89"/>
        <v/>
      </c>
    </row>
    <row r="553" spans="1:12" hidden="1">
      <c r="A553" t="str">
        <f>IF(Sheet1!A569="","",Sheet1!A569)</f>
        <v/>
      </c>
      <c r="C553" t="str">
        <f t="shared" si="82"/>
        <v/>
      </c>
      <c r="D553" t="str">
        <f t="shared" si="80"/>
        <v/>
      </c>
      <c r="E553" t="str">
        <f t="shared" si="83"/>
        <v/>
      </c>
      <c r="F553" t="str">
        <f t="shared" si="84"/>
        <v/>
      </c>
      <c r="G553" t="str">
        <f t="shared" si="85"/>
        <v/>
      </c>
      <c r="H553" t="str">
        <f t="shared" si="86"/>
        <v/>
      </c>
      <c r="I553" t="str">
        <f t="shared" si="81"/>
        <v/>
      </c>
      <c r="K553" t="str">
        <f t="shared" si="88"/>
        <v>Matchday 37</v>
      </c>
      <c r="L553" t="str">
        <f t="shared" si="89"/>
        <v/>
      </c>
    </row>
    <row r="554" spans="1:12" hidden="1">
      <c r="A554" t="str">
        <f>IF(Sheet1!A570="","",Sheet1!A570)</f>
        <v/>
      </c>
      <c r="C554" t="str">
        <f t="shared" si="82"/>
        <v/>
      </c>
      <c r="D554" t="str">
        <f t="shared" si="80"/>
        <v/>
      </c>
      <c r="E554" t="str">
        <f t="shared" si="83"/>
        <v/>
      </c>
      <c r="F554" t="str">
        <f t="shared" si="84"/>
        <v/>
      </c>
      <c r="G554" t="str">
        <f t="shared" si="85"/>
        <v/>
      </c>
      <c r="H554" t="str">
        <f t="shared" si="86"/>
        <v/>
      </c>
      <c r="I554" t="str">
        <f t="shared" si="81"/>
        <v/>
      </c>
      <c r="K554" t="str">
        <f t="shared" si="88"/>
        <v>Matchday 37</v>
      </c>
      <c r="L554" t="str">
        <f t="shared" si="89"/>
        <v/>
      </c>
    </row>
    <row r="555" spans="1:12" hidden="1">
      <c r="A555" t="str">
        <f>IF(Sheet1!A571="","",Sheet1!A571)</f>
        <v/>
      </c>
      <c r="C555" t="str">
        <f t="shared" si="82"/>
        <v/>
      </c>
      <c r="D555" t="str">
        <f t="shared" si="80"/>
        <v/>
      </c>
      <c r="E555" t="str">
        <f t="shared" si="83"/>
        <v/>
      </c>
      <c r="F555" t="str">
        <f t="shared" si="84"/>
        <v/>
      </c>
      <c r="G555" t="str">
        <f t="shared" si="85"/>
        <v/>
      </c>
      <c r="H555" t="str">
        <f t="shared" si="86"/>
        <v/>
      </c>
      <c r="I555" t="str">
        <f t="shared" si="81"/>
        <v/>
      </c>
      <c r="K555" t="str">
        <f t="shared" si="88"/>
        <v>Matchday 37</v>
      </c>
      <c r="L555" t="str">
        <f t="shared" si="89"/>
        <v/>
      </c>
    </row>
    <row r="556" spans="1:12" hidden="1">
      <c r="A556" t="str">
        <f>IF(Sheet1!A572="","",Sheet1!A572)</f>
        <v/>
      </c>
      <c r="C556" t="str">
        <f t="shared" si="82"/>
        <v/>
      </c>
      <c r="D556" t="str">
        <f t="shared" si="80"/>
        <v/>
      </c>
      <c r="E556" t="str">
        <f t="shared" si="83"/>
        <v/>
      </c>
      <c r="F556" t="str">
        <f t="shared" si="84"/>
        <v/>
      </c>
      <c r="G556" t="str">
        <f t="shared" si="85"/>
        <v/>
      </c>
      <c r="H556" t="str">
        <f t="shared" si="86"/>
        <v/>
      </c>
      <c r="I556" t="str">
        <f t="shared" si="81"/>
        <v/>
      </c>
      <c r="K556" t="str">
        <f t="shared" si="88"/>
        <v>Matchday 37</v>
      </c>
      <c r="L556" t="str">
        <f t="shared" si="89"/>
        <v/>
      </c>
    </row>
    <row r="557" spans="1:12" hidden="1">
      <c r="A557" t="str">
        <f>IF(Sheet1!A573="","",Sheet1!A573)</f>
        <v/>
      </c>
      <c r="C557" t="str">
        <f t="shared" si="82"/>
        <v/>
      </c>
      <c r="D557" t="str">
        <f t="shared" si="80"/>
        <v/>
      </c>
      <c r="E557" t="str">
        <f t="shared" si="83"/>
        <v/>
      </c>
      <c r="F557" t="str">
        <f t="shared" si="84"/>
        <v/>
      </c>
      <c r="G557" t="str">
        <f t="shared" si="85"/>
        <v/>
      </c>
      <c r="H557" t="str">
        <f t="shared" si="86"/>
        <v/>
      </c>
      <c r="I557" t="str">
        <f t="shared" si="81"/>
        <v/>
      </c>
      <c r="K557" t="str">
        <f t="shared" si="88"/>
        <v>Matchday 37</v>
      </c>
      <c r="L557" t="str">
        <f t="shared" si="89"/>
        <v/>
      </c>
    </row>
    <row r="558" spans="1:12" hidden="1">
      <c r="A558" t="str">
        <f>IF(Sheet1!A574="","",Sheet1!A574)</f>
        <v/>
      </c>
      <c r="C558" t="str">
        <f t="shared" si="82"/>
        <v/>
      </c>
      <c r="D558" t="str">
        <f t="shared" si="80"/>
        <v/>
      </c>
      <c r="E558" t="str">
        <f t="shared" si="83"/>
        <v/>
      </c>
      <c r="F558" t="str">
        <f t="shared" si="84"/>
        <v/>
      </c>
      <c r="G558" t="str">
        <f t="shared" si="85"/>
        <v/>
      </c>
      <c r="H558" t="str">
        <f t="shared" si="86"/>
        <v/>
      </c>
      <c r="I558" t="str">
        <f t="shared" si="81"/>
        <v/>
      </c>
      <c r="K558" t="str">
        <f t="shared" si="88"/>
        <v>Matchday 37</v>
      </c>
      <c r="L558" t="str">
        <f t="shared" si="89"/>
        <v/>
      </c>
    </row>
    <row r="559" spans="1:12" hidden="1">
      <c r="A559" t="str">
        <f>IF(Sheet1!A575="","",Sheet1!A575)</f>
        <v/>
      </c>
      <c r="C559" t="str">
        <f t="shared" si="82"/>
        <v/>
      </c>
      <c r="D559" t="str">
        <f t="shared" si="80"/>
        <v/>
      </c>
      <c r="E559" t="str">
        <f t="shared" si="83"/>
        <v/>
      </c>
      <c r="F559" t="str">
        <f t="shared" si="84"/>
        <v/>
      </c>
      <c r="G559" t="str">
        <f t="shared" si="85"/>
        <v/>
      </c>
      <c r="H559" t="str">
        <f t="shared" si="86"/>
        <v/>
      </c>
      <c r="I559" t="str">
        <f t="shared" si="81"/>
        <v/>
      </c>
      <c r="K559" t="str">
        <f t="shared" si="88"/>
        <v>Matchday 37</v>
      </c>
      <c r="L559" t="str">
        <f t="shared" si="89"/>
        <v/>
      </c>
    </row>
    <row r="560" spans="1:12" hidden="1">
      <c r="A560" t="str">
        <f>IF(Sheet1!A576="","",Sheet1!A576)</f>
        <v/>
      </c>
      <c r="C560" t="str">
        <f t="shared" si="82"/>
        <v/>
      </c>
      <c r="D560" t="str">
        <f t="shared" si="80"/>
        <v/>
      </c>
      <c r="E560" t="str">
        <f t="shared" si="83"/>
        <v/>
      </c>
      <c r="F560" t="str">
        <f t="shared" si="84"/>
        <v/>
      </c>
      <c r="G560" t="str">
        <f t="shared" si="85"/>
        <v/>
      </c>
      <c r="H560" t="str">
        <f t="shared" si="86"/>
        <v/>
      </c>
      <c r="I560" t="str">
        <f t="shared" si="81"/>
        <v/>
      </c>
      <c r="K560" t="str">
        <f t="shared" si="88"/>
        <v>Matchday 37</v>
      </c>
      <c r="L560" t="str">
        <f t="shared" si="89"/>
        <v/>
      </c>
    </row>
    <row r="561" spans="1:12" hidden="1">
      <c r="A561" t="str">
        <f>IF(Sheet1!A577="","",Sheet1!A577)</f>
        <v/>
      </c>
      <c r="C561" t="str">
        <f t="shared" si="82"/>
        <v/>
      </c>
      <c r="D561" t="str">
        <f t="shared" si="80"/>
        <v/>
      </c>
      <c r="E561" t="str">
        <f t="shared" si="83"/>
        <v/>
      </c>
      <c r="F561" t="str">
        <f t="shared" si="84"/>
        <v/>
      </c>
      <c r="G561" t="str">
        <f t="shared" si="85"/>
        <v/>
      </c>
      <c r="H561" t="str">
        <f t="shared" si="86"/>
        <v/>
      </c>
      <c r="I561" t="str">
        <f t="shared" si="81"/>
        <v/>
      </c>
      <c r="K561" t="str">
        <f t="shared" si="88"/>
        <v>Matchday 37</v>
      </c>
      <c r="L561" t="str">
        <f t="shared" si="89"/>
        <v/>
      </c>
    </row>
    <row r="562" spans="1:12" hidden="1">
      <c r="A562" t="str">
        <f>IF(Sheet1!A578="","",Sheet1!A578)</f>
        <v/>
      </c>
      <c r="C562" t="str">
        <f t="shared" si="82"/>
        <v/>
      </c>
      <c r="D562" t="str">
        <f t="shared" si="80"/>
        <v/>
      </c>
      <c r="E562" t="str">
        <f t="shared" si="83"/>
        <v/>
      </c>
      <c r="F562" t="str">
        <f t="shared" si="84"/>
        <v/>
      </c>
      <c r="G562" t="str">
        <f t="shared" si="85"/>
        <v/>
      </c>
      <c r="H562" t="str">
        <f t="shared" si="86"/>
        <v/>
      </c>
      <c r="I562" t="str">
        <f t="shared" si="81"/>
        <v/>
      </c>
      <c r="K562" t="str">
        <f t="shared" si="88"/>
        <v>Matchday 37</v>
      </c>
      <c r="L562" t="str">
        <f t="shared" si="89"/>
        <v/>
      </c>
    </row>
    <row r="563" spans="1:12" hidden="1">
      <c r="A563" t="str">
        <f>IF(Sheet1!A579="","",Sheet1!A579)</f>
        <v/>
      </c>
      <c r="C563" t="str">
        <f t="shared" si="82"/>
        <v/>
      </c>
      <c r="D563" t="str">
        <f t="shared" si="80"/>
        <v/>
      </c>
      <c r="E563" t="str">
        <f t="shared" si="83"/>
        <v/>
      </c>
      <c r="F563" t="str">
        <f t="shared" si="84"/>
        <v/>
      </c>
      <c r="G563" t="str">
        <f t="shared" si="85"/>
        <v/>
      </c>
      <c r="H563" t="str">
        <f t="shared" si="86"/>
        <v/>
      </c>
      <c r="I563" t="str">
        <f t="shared" si="81"/>
        <v/>
      </c>
      <c r="K563" t="str">
        <f t="shared" si="88"/>
        <v>Matchday 37</v>
      </c>
      <c r="L563" t="str">
        <f t="shared" si="89"/>
        <v/>
      </c>
    </row>
    <row r="564" spans="1:12" hidden="1">
      <c r="A564" t="str">
        <f>IF(Sheet1!A580="","",Sheet1!A580)</f>
        <v/>
      </c>
      <c r="C564" t="str">
        <f t="shared" si="82"/>
        <v/>
      </c>
      <c r="D564" t="str">
        <f t="shared" si="80"/>
        <v/>
      </c>
      <c r="E564" t="str">
        <f t="shared" si="83"/>
        <v/>
      </c>
      <c r="F564" t="str">
        <f t="shared" si="84"/>
        <v/>
      </c>
      <c r="G564" t="str">
        <f t="shared" si="85"/>
        <v/>
      </c>
      <c r="H564" t="str">
        <f t="shared" si="86"/>
        <v/>
      </c>
      <c r="I564" t="str">
        <f t="shared" si="81"/>
        <v/>
      </c>
      <c r="K564" t="str">
        <f t="shared" si="88"/>
        <v>Matchday 37</v>
      </c>
      <c r="L564" t="str">
        <f t="shared" si="89"/>
        <v/>
      </c>
    </row>
    <row r="565" spans="1:12" hidden="1">
      <c r="A565" t="str">
        <f>IF(Sheet1!A581="","",Sheet1!A581)</f>
        <v/>
      </c>
      <c r="C565" t="str">
        <f t="shared" si="82"/>
        <v/>
      </c>
      <c r="D565" t="str">
        <f t="shared" si="80"/>
        <v/>
      </c>
      <c r="E565" t="str">
        <f t="shared" si="83"/>
        <v/>
      </c>
      <c r="F565" t="str">
        <f t="shared" si="84"/>
        <v/>
      </c>
      <c r="G565" t="str">
        <f t="shared" si="85"/>
        <v/>
      </c>
      <c r="H565" t="str">
        <f t="shared" si="86"/>
        <v/>
      </c>
      <c r="I565" t="str">
        <f t="shared" si="81"/>
        <v/>
      </c>
      <c r="K565" t="str">
        <f t="shared" si="88"/>
        <v>Matchday 37</v>
      </c>
      <c r="L565" t="str">
        <f t="shared" si="89"/>
        <v/>
      </c>
    </row>
    <row r="566" spans="1:12" hidden="1">
      <c r="A566" t="str">
        <f>IF(Sheet1!A582="","",Sheet1!A582)</f>
        <v/>
      </c>
      <c r="C566" t="str">
        <f t="shared" si="82"/>
        <v/>
      </c>
      <c r="D566" t="str">
        <f t="shared" si="80"/>
        <v/>
      </c>
      <c r="E566" t="str">
        <f t="shared" si="83"/>
        <v/>
      </c>
      <c r="F566" t="str">
        <f t="shared" si="84"/>
        <v/>
      </c>
      <c r="G566" t="str">
        <f t="shared" si="85"/>
        <v/>
      </c>
      <c r="H566" t="str">
        <f t="shared" si="86"/>
        <v/>
      </c>
      <c r="I566" t="str">
        <f t="shared" si="81"/>
        <v/>
      </c>
      <c r="K566" t="str">
        <f t="shared" si="88"/>
        <v>Matchday 37</v>
      </c>
      <c r="L566" t="str">
        <f t="shared" si="89"/>
        <v/>
      </c>
    </row>
    <row r="567" spans="1:12" hidden="1">
      <c r="A567" t="str">
        <f>IF(Sheet1!A583="","",Sheet1!A583)</f>
        <v/>
      </c>
      <c r="C567" t="str">
        <f t="shared" si="82"/>
        <v/>
      </c>
      <c r="D567" t="str">
        <f t="shared" si="80"/>
        <v/>
      </c>
      <c r="E567" t="str">
        <f t="shared" si="83"/>
        <v/>
      </c>
      <c r="F567" t="str">
        <f t="shared" si="84"/>
        <v/>
      </c>
      <c r="G567" t="str">
        <f t="shared" si="85"/>
        <v/>
      </c>
      <c r="H567" t="str">
        <f t="shared" si="86"/>
        <v/>
      </c>
      <c r="I567" t="str">
        <f t="shared" si="81"/>
        <v/>
      </c>
      <c r="K567" t="str">
        <f t="shared" si="88"/>
        <v>Matchday 37</v>
      </c>
      <c r="L567" t="str">
        <f t="shared" si="89"/>
        <v/>
      </c>
    </row>
    <row r="568" spans="1:12" hidden="1">
      <c r="A568" t="str">
        <f>IF(Sheet1!A584="","",Sheet1!A584)</f>
        <v/>
      </c>
      <c r="C568" t="str">
        <f t="shared" si="82"/>
        <v/>
      </c>
      <c r="D568" t="str">
        <f t="shared" si="80"/>
        <v/>
      </c>
      <c r="E568" t="str">
        <f t="shared" si="83"/>
        <v/>
      </c>
      <c r="F568" t="str">
        <f t="shared" si="84"/>
        <v/>
      </c>
      <c r="G568" t="str">
        <f t="shared" si="85"/>
        <v/>
      </c>
      <c r="H568" t="str">
        <f t="shared" si="86"/>
        <v/>
      </c>
      <c r="I568" t="str">
        <f t="shared" si="81"/>
        <v/>
      </c>
      <c r="K568" t="str">
        <f t="shared" si="88"/>
        <v>Matchday 37</v>
      </c>
      <c r="L568" t="str">
        <f t="shared" si="89"/>
        <v/>
      </c>
    </row>
    <row r="569" spans="1:12" hidden="1">
      <c r="A569" t="str">
        <f>IF(Sheet1!A585="","",Sheet1!A585)</f>
        <v/>
      </c>
      <c r="C569" t="str">
        <f t="shared" si="82"/>
        <v/>
      </c>
      <c r="D569" t="str">
        <f t="shared" si="80"/>
        <v/>
      </c>
      <c r="E569" t="str">
        <f t="shared" si="83"/>
        <v/>
      </c>
      <c r="F569" t="str">
        <f t="shared" si="84"/>
        <v/>
      </c>
      <c r="G569" t="str">
        <f t="shared" si="85"/>
        <v/>
      </c>
      <c r="H569" t="str">
        <f t="shared" si="86"/>
        <v/>
      </c>
      <c r="I569" t="str">
        <f t="shared" si="81"/>
        <v/>
      </c>
      <c r="K569" t="str">
        <f t="shared" si="88"/>
        <v>Matchday 37</v>
      </c>
      <c r="L569" t="str">
        <f t="shared" si="89"/>
        <v/>
      </c>
    </row>
    <row r="570" spans="1:12" hidden="1">
      <c r="A570" t="str">
        <f>IF(Sheet1!A586="","",Sheet1!A586)</f>
        <v/>
      </c>
      <c r="C570" t="str">
        <f t="shared" si="82"/>
        <v/>
      </c>
      <c r="D570" t="str">
        <f t="shared" si="80"/>
        <v/>
      </c>
      <c r="E570" t="str">
        <f t="shared" si="83"/>
        <v/>
      </c>
      <c r="F570" t="str">
        <f t="shared" si="84"/>
        <v/>
      </c>
      <c r="G570" t="str">
        <f t="shared" si="85"/>
        <v/>
      </c>
      <c r="H570" t="str">
        <f t="shared" si="86"/>
        <v/>
      </c>
      <c r="I570" t="str">
        <f t="shared" si="81"/>
        <v/>
      </c>
      <c r="K570" t="str">
        <f t="shared" si="88"/>
        <v>Matchday 37</v>
      </c>
      <c r="L570" t="str">
        <f t="shared" si="89"/>
        <v/>
      </c>
    </row>
    <row r="571" spans="1:12" hidden="1">
      <c r="A571" t="str">
        <f>IF(Sheet1!A587="","",Sheet1!A587)</f>
        <v/>
      </c>
      <c r="C571" t="str">
        <f t="shared" si="82"/>
        <v/>
      </c>
      <c r="D571" t="str">
        <f t="shared" si="80"/>
        <v/>
      </c>
      <c r="E571" t="str">
        <f t="shared" si="83"/>
        <v/>
      </c>
      <c r="F571" t="str">
        <f t="shared" si="84"/>
        <v/>
      </c>
      <c r="G571" t="str">
        <f t="shared" si="85"/>
        <v/>
      </c>
      <c r="H571" t="str">
        <f t="shared" si="86"/>
        <v/>
      </c>
      <c r="I571" t="str">
        <f t="shared" si="81"/>
        <v/>
      </c>
      <c r="K571" t="str">
        <f t="shared" si="88"/>
        <v>Matchday 37</v>
      </c>
      <c r="L571" t="str">
        <f t="shared" si="89"/>
        <v/>
      </c>
    </row>
    <row r="572" spans="1:12" hidden="1">
      <c r="A572" t="str">
        <f>IF(Sheet1!A588="","",Sheet1!A588)</f>
        <v/>
      </c>
      <c r="C572" t="str">
        <f t="shared" si="82"/>
        <v/>
      </c>
      <c r="D572" t="str">
        <f t="shared" si="80"/>
        <v/>
      </c>
      <c r="E572" t="str">
        <f t="shared" si="83"/>
        <v/>
      </c>
      <c r="F572" t="str">
        <f t="shared" si="84"/>
        <v/>
      </c>
      <c r="G572" t="str">
        <f t="shared" si="85"/>
        <v/>
      </c>
      <c r="H572" t="str">
        <f t="shared" si="86"/>
        <v/>
      </c>
      <c r="I572" t="str">
        <f t="shared" si="81"/>
        <v/>
      </c>
      <c r="K572" t="str">
        <f t="shared" si="88"/>
        <v>Matchday 37</v>
      </c>
      <c r="L572" t="str">
        <f t="shared" si="89"/>
        <v/>
      </c>
    </row>
    <row r="573" spans="1:12" hidden="1">
      <c r="A573" t="str">
        <f>IF(Sheet1!A589="","",Sheet1!A589)</f>
        <v/>
      </c>
      <c r="C573" t="str">
        <f t="shared" si="82"/>
        <v/>
      </c>
      <c r="D573" t="str">
        <f t="shared" si="80"/>
        <v/>
      </c>
      <c r="E573" t="str">
        <f t="shared" si="83"/>
        <v/>
      </c>
      <c r="F573" t="str">
        <f t="shared" si="84"/>
        <v/>
      </c>
      <c r="G573" t="str">
        <f t="shared" si="85"/>
        <v/>
      </c>
      <c r="H573" t="str">
        <f t="shared" si="86"/>
        <v/>
      </c>
      <c r="I573" t="str">
        <f t="shared" si="81"/>
        <v/>
      </c>
      <c r="K573" t="str">
        <f t="shared" si="88"/>
        <v>Matchday 37</v>
      </c>
      <c r="L573" t="str">
        <f t="shared" si="89"/>
        <v/>
      </c>
    </row>
    <row r="574" spans="1:12" hidden="1">
      <c r="A574" t="str">
        <f>IF(Sheet1!A590="","",Sheet1!A590)</f>
        <v/>
      </c>
      <c r="C574" t="str">
        <f t="shared" si="82"/>
        <v/>
      </c>
      <c r="D574" t="str">
        <f t="shared" si="80"/>
        <v/>
      </c>
      <c r="E574" t="str">
        <f t="shared" si="83"/>
        <v/>
      </c>
      <c r="F574" t="str">
        <f t="shared" si="84"/>
        <v/>
      </c>
      <c r="G574" t="str">
        <f t="shared" si="85"/>
        <v/>
      </c>
      <c r="H574" t="str">
        <f t="shared" si="86"/>
        <v/>
      </c>
      <c r="I574" t="str">
        <f t="shared" si="81"/>
        <v/>
      </c>
      <c r="K574" t="str">
        <f t="shared" si="88"/>
        <v>Matchday 37</v>
      </c>
      <c r="L574" t="str">
        <f t="shared" si="89"/>
        <v/>
      </c>
    </row>
    <row r="575" spans="1:12" hidden="1">
      <c r="A575" t="str">
        <f>IF(Sheet1!A591="","",Sheet1!A591)</f>
        <v/>
      </c>
      <c r="C575" t="str">
        <f t="shared" si="82"/>
        <v/>
      </c>
      <c r="D575" t="str">
        <f t="shared" si="80"/>
        <v/>
      </c>
      <c r="E575" t="str">
        <f t="shared" si="83"/>
        <v/>
      </c>
      <c r="F575" t="str">
        <f t="shared" si="84"/>
        <v/>
      </c>
      <c r="G575" t="str">
        <f t="shared" si="85"/>
        <v/>
      </c>
      <c r="H575" t="str">
        <f t="shared" si="86"/>
        <v/>
      </c>
      <c r="I575" t="str">
        <f t="shared" si="81"/>
        <v/>
      </c>
      <c r="K575" t="str">
        <f t="shared" si="88"/>
        <v>Matchday 37</v>
      </c>
      <c r="L575" t="str">
        <f t="shared" si="89"/>
        <v/>
      </c>
    </row>
    <row r="576" spans="1:12" hidden="1">
      <c r="A576" t="str">
        <f>IF(Sheet1!A592="","",Sheet1!A592)</f>
        <v/>
      </c>
      <c r="C576" t="str">
        <f t="shared" si="82"/>
        <v/>
      </c>
      <c r="D576" t="str">
        <f t="shared" si="80"/>
        <v/>
      </c>
      <c r="E576" t="str">
        <f t="shared" si="83"/>
        <v/>
      </c>
      <c r="F576" t="str">
        <f t="shared" si="84"/>
        <v/>
      </c>
      <c r="G576" t="str">
        <f t="shared" si="85"/>
        <v/>
      </c>
      <c r="H576" t="str">
        <f t="shared" si="86"/>
        <v/>
      </c>
      <c r="I576" t="str">
        <f t="shared" si="81"/>
        <v/>
      </c>
      <c r="K576" t="str">
        <f t="shared" si="88"/>
        <v>Matchday 37</v>
      </c>
      <c r="L576" t="str">
        <f t="shared" si="89"/>
        <v/>
      </c>
    </row>
    <row r="577" spans="1:12" hidden="1">
      <c r="A577" t="str">
        <f>IF(Sheet1!A593="","",Sheet1!A593)</f>
        <v/>
      </c>
      <c r="C577" t="str">
        <f t="shared" si="82"/>
        <v/>
      </c>
      <c r="D577" t="str">
        <f t="shared" si="80"/>
        <v/>
      </c>
      <c r="E577" t="str">
        <f t="shared" si="83"/>
        <v/>
      </c>
      <c r="F577" t="str">
        <f t="shared" si="84"/>
        <v/>
      </c>
      <c r="G577" t="str">
        <f t="shared" si="85"/>
        <v/>
      </c>
      <c r="H577" t="str">
        <f t="shared" si="86"/>
        <v/>
      </c>
      <c r="I577" t="str">
        <f t="shared" si="81"/>
        <v/>
      </c>
      <c r="K577" t="str">
        <f t="shared" si="88"/>
        <v>Matchday 37</v>
      </c>
      <c r="L577" t="str">
        <f t="shared" si="89"/>
        <v/>
      </c>
    </row>
    <row r="578" spans="1:12" hidden="1">
      <c r="A578" t="str">
        <f>IF(Sheet1!A594="","",Sheet1!A594)</f>
        <v/>
      </c>
      <c r="C578" t="str">
        <f t="shared" si="82"/>
        <v/>
      </c>
      <c r="D578" t="str">
        <f t="shared" si="80"/>
        <v/>
      </c>
      <c r="E578" t="str">
        <f t="shared" si="83"/>
        <v/>
      </c>
      <c r="F578" t="str">
        <f t="shared" si="84"/>
        <v/>
      </c>
      <c r="G578" t="str">
        <f t="shared" si="85"/>
        <v/>
      </c>
      <c r="H578" t="str">
        <f t="shared" si="86"/>
        <v/>
      </c>
      <c r="I578" t="str">
        <f t="shared" si="81"/>
        <v/>
      </c>
      <c r="K578" t="str">
        <f t="shared" si="88"/>
        <v>Matchday 37</v>
      </c>
      <c r="L578" t="str">
        <f t="shared" si="89"/>
        <v/>
      </c>
    </row>
    <row r="579" spans="1:12" hidden="1">
      <c r="A579" t="str">
        <f>IF(Sheet1!A595="","",Sheet1!A595)</f>
        <v/>
      </c>
      <c r="C579" t="str">
        <f t="shared" si="82"/>
        <v/>
      </c>
      <c r="D579" t="str">
        <f t="shared" ref="D579:D634" si="90">IFERROR(FIND("-",A579),"")</f>
        <v/>
      </c>
      <c r="E579" t="str">
        <f t="shared" si="83"/>
        <v/>
      </c>
      <c r="F579" t="str">
        <f t="shared" si="84"/>
        <v/>
      </c>
      <c r="G579" t="str">
        <f t="shared" si="85"/>
        <v/>
      </c>
      <c r="H579" t="str">
        <f t="shared" si="86"/>
        <v/>
      </c>
      <c r="I579" t="str">
        <f t="shared" ref="I579:I634" si="91">IFERROR(IF(LEFT(H579,1)=" ","",MID(A579,D579+4,3)),"")</f>
        <v/>
      </c>
      <c r="K579" t="str">
        <f t="shared" si="88"/>
        <v>Matchday 37</v>
      </c>
      <c r="L579" t="str">
        <f t="shared" si="89"/>
        <v/>
      </c>
    </row>
    <row r="580" spans="1:12" hidden="1">
      <c r="A580" t="str">
        <f>IF(Sheet1!A596="","",Sheet1!A596)</f>
        <v/>
      </c>
      <c r="C580" t="str">
        <f t="shared" ref="C580:C634" si="92">IFERROR(FIND("FC",SUBSTITUTE(A580,"Manchester United","Manchester United FC")),"")</f>
        <v/>
      </c>
      <c r="D580" t="str">
        <f t="shared" si="90"/>
        <v/>
      </c>
      <c r="E580" t="str">
        <f t="shared" ref="E580:E634" si="93">IFERROR(FIND("FC",SUBSTITUTE(A580,"Manchester United","Manchester United FC"),D580),"")</f>
        <v/>
      </c>
      <c r="F580" t="str">
        <f t="shared" ref="F580:F634" si="94">IFERROR(IF(VALUE(MID($A580,3,2))&lt;25,MID($A580,3,5),""),"")</f>
        <v/>
      </c>
      <c r="G580" t="str">
        <f t="shared" ref="G580:G634" si="95">IFERROR(IFERROR(IF(VALUE(MID($A580,3,2))&lt;25,MID($A580,10,C580-8),""),MID(A580,3,C580)),"")</f>
        <v/>
      </c>
      <c r="H580" t="str">
        <f t="shared" ref="H580:H634" si="96">IFERROR(MID(A580,D580-1,3),"")</f>
        <v/>
      </c>
      <c r="I580" t="str">
        <f t="shared" si="91"/>
        <v/>
      </c>
      <c r="K580" t="str">
        <f t="shared" ref="K580:K634" si="97">IF(LEFT(A578,8)="Matchday",A578,K579)</f>
        <v>Matchday 37</v>
      </c>
      <c r="L580" t="str">
        <f t="shared" ref="L580:L634" si="98">IF(C580="","",IF(LEFT(A579,1)="[",A579,L579))</f>
        <v/>
      </c>
    </row>
    <row r="581" spans="1:12" hidden="1">
      <c r="A581" t="str">
        <f>IF(Sheet1!A597="","",Sheet1!A597)</f>
        <v/>
      </c>
      <c r="C581" t="str">
        <f t="shared" si="92"/>
        <v/>
      </c>
      <c r="D581" t="str">
        <f t="shared" si="90"/>
        <v/>
      </c>
      <c r="E581" t="str">
        <f t="shared" si="93"/>
        <v/>
      </c>
      <c r="F581" t="str">
        <f t="shared" si="94"/>
        <v/>
      </c>
      <c r="G581" t="str">
        <f t="shared" si="95"/>
        <v/>
      </c>
      <c r="H581" t="str">
        <f t="shared" si="96"/>
        <v/>
      </c>
      <c r="I581" t="str">
        <f t="shared" si="91"/>
        <v/>
      </c>
      <c r="K581" t="str">
        <f t="shared" si="97"/>
        <v>Matchday 37</v>
      </c>
      <c r="L581" t="str">
        <f t="shared" si="98"/>
        <v/>
      </c>
    </row>
    <row r="582" spans="1:12" hidden="1">
      <c r="A582" t="str">
        <f>IF(Sheet1!A598="","",Sheet1!A598)</f>
        <v/>
      </c>
      <c r="C582" t="str">
        <f t="shared" si="92"/>
        <v/>
      </c>
      <c r="D582" t="str">
        <f t="shared" si="90"/>
        <v/>
      </c>
      <c r="E582" t="str">
        <f t="shared" si="93"/>
        <v/>
      </c>
      <c r="F582" t="str">
        <f t="shared" si="94"/>
        <v/>
      </c>
      <c r="G582" t="str">
        <f t="shared" si="95"/>
        <v/>
      </c>
      <c r="H582" t="str">
        <f t="shared" si="96"/>
        <v/>
      </c>
      <c r="I582" t="str">
        <f t="shared" si="91"/>
        <v/>
      </c>
      <c r="K582" t="str">
        <f t="shared" si="97"/>
        <v>Matchday 37</v>
      </c>
      <c r="L582" t="str">
        <f t="shared" si="98"/>
        <v/>
      </c>
    </row>
    <row r="583" spans="1:12" hidden="1">
      <c r="A583" t="str">
        <f>IF(Sheet1!A599="","",Sheet1!A599)</f>
        <v/>
      </c>
      <c r="C583" t="str">
        <f t="shared" si="92"/>
        <v/>
      </c>
      <c r="D583" t="str">
        <f t="shared" si="90"/>
        <v/>
      </c>
      <c r="E583" t="str">
        <f t="shared" si="93"/>
        <v/>
      </c>
      <c r="F583" t="str">
        <f t="shared" si="94"/>
        <v/>
      </c>
      <c r="G583" t="str">
        <f t="shared" si="95"/>
        <v/>
      </c>
      <c r="H583" t="str">
        <f t="shared" si="96"/>
        <v/>
      </c>
      <c r="I583" t="str">
        <f t="shared" si="91"/>
        <v/>
      </c>
      <c r="K583" t="str">
        <f t="shared" si="97"/>
        <v>Matchday 37</v>
      </c>
      <c r="L583" t="str">
        <f t="shared" si="98"/>
        <v/>
      </c>
    </row>
    <row r="584" spans="1:12" hidden="1">
      <c r="A584" t="str">
        <f>IF(Sheet1!A600="","",Sheet1!A600)</f>
        <v/>
      </c>
      <c r="C584" t="str">
        <f t="shared" si="92"/>
        <v/>
      </c>
      <c r="D584" t="str">
        <f t="shared" si="90"/>
        <v/>
      </c>
      <c r="E584" t="str">
        <f t="shared" si="93"/>
        <v/>
      </c>
      <c r="F584" t="str">
        <f t="shared" si="94"/>
        <v/>
      </c>
      <c r="G584" t="str">
        <f t="shared" si="95"/>
        <v/>
      </c>
      <c r="H584" t="str">
        <f t="shared" si="96"/>
        <v/>
      </c>
      <c r="I584" t="str">
        <f t="shared" si="91"/>
        <v/>
      </c>
      <c r="K584" t="str">
        <f t="shared" si="97"/>
        <v>Matchday 37</v>
      </c>
      <c r="L584" t="str">
        <f t="shared" si="98"/>
        <v/>
      </c>
    </row>
    <row r="585" spans="1:12" hidden="1">
      <c r="A585" t="str">
        <f>IF(Sheet1!A601="","",Sheet1!A601)</f>
        <v/>
      </c>
      <c r="C585" t="str">
        <f t="shared" si="92"/>
        <v/>
      </c>
      <c r="D585" t="str">
        <f t="shared" si="90"/>
        <v/>
      </c>
      <c r="E585" t="str">
        <f t="shared" si="93"/>
        <v/>
      </c>
      <c r="F585" t="str">
        <f t="shared" si="94"/>
        <v/>
      </c>
      <c r="G585" t="str">
        <f t="shared" si="95"/>
        <v/>
      </c>
      <c r="H585" t="str">
        <f t="shared" si="96"/>
        <v/>
      </c>
      <c r="I585" t="str">
        <f t="shared" si="91"/>
        <v/>
      </c>
      <c r="K585" t="str">
        <f t="shared" si="97"/>
        <v>Matchday 37</v>
      </c>
      <c r="L585" t="str">
        <f t="shared" si="98"/>
        <v/>
      </c>
    </row>
    <row r="586" spans="1:12" hidden="1">
      <c r="A586" t="str">
        <f>IF(Sheet1!A602="","",Sheet1!A602)</f>
        <v/>
      </c>
      <c r="C586" t="str">
        <f t="shared" si="92"/>
        <v/>
      </c>
      <c r="D586" t="str">
        <f t="shared" si="90"/>
        <v/>
      </c>
      <c r="E586" t="str">
        <f t="shared" si="93"/>
        <v/>
      </c>
      <c r="F586" t="str">
        <f t="shared" si="94"/>
        <v/>
      </c>
      <c r="G586" t="str">
        <f t="shared" si="95"/>
        <v/>
      </c>
      <c r="H586" t="str">
        <f t="shared" si="96"/>
        <v/>
      </c>
      <c r="I586" t="str">
        <f t="shared" si="91"/>
        <v/>
      </c>
      <c r="K586" t="str">
        <f t="shared" si="97"/>
        <v>Matchday 37</v>
      </c>
      <c r="L586" t="str">
        <f t="shared" si="98"/>
        <v/>
      </c>
    </row>
    <row r="587" spans="1:12" hidden="1">
      <c r="A587" t="str">
        <f>IF(Sheet1!A603="","",Sheet1!A603)</f>
        <v/>
      </c>
      <c r="C587" t="str">
        <f t="shared" si="92"/>
        <v/>
      </c>
      <c r="D587" t="str">
        <f t="shared" si="90"/>
        <v/>
      </c>
      <c r="E587" t="str">
        <f t="shared" si="93"/>
        <v/>
      </c>
      <c r="F587" t="str">
        <f t="shared" si="94"/>
        <v/>
      </c>
      <c r="G587" t="str">
        <f t="shared" si="95"/>
        <v/>
      </c>
      <c r="H587" t="str">
        <f t="shared" si="96"/>
        <v/>
      </c>
      <c r="I587" t="str">
        <f t="shared" si="91"/>
        <v/>
      </c>
      <c r="K587" t="str">
        <f t="shared" si="97"/>
        <v>Matchday 37</v>
      </c>
      <c r="L587" t="str">
        <f t="shared" si="98"/>
        <v/>
      </c>
    </row>
    <row r="588" spans="1:12" hidden="1">
      <c r="A588" t="str">
        <f>IF(Sheet1!A604="","",Sheet1!A604)</f>
        <v/>
      </c>
      <c r="C588" t="str">
        <f t="shared" si="92"/>
        <v/>
      </c>
      <c r="D588" t="str">
        <f t="shared" si="90"/>
        <v/>
      </c>
      <c r="E588" t="str">
        <f t="shared" si="93"/>
        <v/>
      </c>
      <c r="F588" t="str">
        <f t="shared" si="94"/>
        <v/>
      </c>
      <c r="G588" t="str">
        <f t="shared" si="95"/>
        <v/>
      </c>
      <c r="H588" t="str">
        <f t="shared" si="96"/>
        <v/>
      </c>
      <c r="I588" t="str">
        <f t="shared" si="91"/>
        <v/>
      </c>
      <c r="K588" t="str">
        <f t="shared" si="97"/>
        <v>Matchday 37</v>
      </c>
      <c r="L588" t="str">
        <f t="shared" si="98"/>
        <v/>
      </c>
    </row>
    <row r="589" spans="1:12" hidden="1">
      <c r="A589" t="str">
        <f>IF(Sheet1!A605="","",Sheet1!A605)</f>
        <v/>
      </c>
      <c r="C589" t="str">
        <f t="shared" si="92"/>
        <v/>
      </c>
      <c r="D589" t="str">
        <f t="shared" si="90"/>
        <v/>
      </c>
      <c r="E589" t="str">
        <f t="shared" si="93"/>
        <v/>
      </c>
      <c r="F589" t="str">
        <f t="shared" si="94"/>
        <v/>
      </c>
      <c r="G589" t="str">
        <f t="shared" si="95"/>
        <v/>
      </c>
      <c r="H589" t="str">
        <f t="shared" si="96"/>
        <v/>
      </c>
      <c r="I589" t="str">
        <f t="shared" si="91"/>
        <v/>
      </c>
      <c r="K589" t="str">
        <f t="shared" si="97"/>
        <v>Matchday 37</v>
      </c>
      <c r="L589" t="str">
        <f t="shared" si="98"/>
        <v/>
      </c>
    </row>
    <row r="590" spans="1:12" hidden="1">
      <c r="A590" t="str">
        <f>IF(Sheet1!A606="","",Sheet1!A606)</f>
        <v/>
      </c>
      <c r="C590" t="str">
        <f t="shared" si="92"/>
        <v/>
      </c>
      <c r="D590" t="str">
        <f t="shared" si="90"/>
        <v/>
      </c>
      <c r="E590" t="str">
        <f t="shared" si="93"/>
        <v/>
      </c>
      <c r="F590" t="str">
        <f t="shared" si="94"/>
        <v/>
      </c>
      <c r="G590" t="str">
        <f t="shared" si="95"/>
        <v/>
      </c>
      <c r="H590" t="str">
        <f t="shared" si="96"/>
        <v/>
      </c>
      <c r="I590" t="str">
        <f t="shared" si="91"/>
        <v/>
      </c>
      <c r="K590" t="str">
        <f t="shared" si="97"/>
        <v>Matchday 37</v>
      </c>
      <c r="L590" t="str">
        <f t="shared" si="98"/>
        <v/>
      </c>
    </row>
    <row r="591" spans="1:12" hidden="1">
      <c r="A591" t="str">
        <f>IF(Sheet1!A607="","",Sheet1!A607)</f>
        <v/>
      </c>
      <c r="C591" t="str">
        <f t="shared" si="92"/>
        <v/>
      </c>
      <c r="D591" t="str">
        <f t="shared" si="90"/>
        <v/>
      </c>
      <c r="E591" t="str">
        <f t="shared" si="93"/>
        <v/>
      </c>
      <c r="F591" t="str">
        <f t="shared" si="94"/>
        <v/>
      </c>
      <c r="G591" t="str">
        <f t="shared" si="95"/>
        <v/>
      </c>
      <c r="H591" t="str">
        <f t="shared" si="96"/>
        <v/>
      </c>
      <c r="I591" t="str">
        <f t="shared" si="91"/>
        <v/>
      </c>
      <c r="K591" t="str">
        <f t="shared" si="97"/>
        <v>Matchday 37</v>
      </c>
      <c r="L591" t="str">
        <f t="shared" si="98"/>
        <v/>
      </c>
    </row>
    <row r="592" spans="1:12" hidden="1">
      <c r="A592" t="str">
        <f>IF(Sheet1!A608="","",Sheet1!A608)</f>
        <v/>
      </c>
      <c r="C592" t="str">
        <f t="shared" si="92"/>
        <v/>
      </c>
      <c r="D592" t="str">
        <f t="shared" si="90"/>
        <v/>
      </c>
      <c r="E592" t="str">
        <f t="shared" si="93"/>
        <v/>
      </c>
      <c r="F592" t="str">
        <f t="shared" si="94"/>
        <v/>
      </c>
      <c r="G592" t="str">
        <f t="shared" si="95"/>
        <v/>
      </c>
      <c r="H592" t="str">
        <f t="shared" si="96"/>
        <v/>
      </c>
      <c r="I592" t="str">
        <f t="shared" si="91"/>
        <v/>
      </c>
      <c r="K592" t="str">
        <f t="shared" si="97"/>
        <v>Matchday 37</v>
      </c>
      <c r="L592" t="str">
        <f t="shared" si="98"/>
        <v/>
      </c>
    </row>
    <row r="593" spans="1:12" hidden="1">
      <c r="A593" t="str">
        <f>IF(Sheet1!A609="","",Sheet1!A609)</f>
        <v/>
      </c>
      <c r="C593" t="str">
        <f t="shared" si="92"/>
        <v/>
      </c>
      <c r="D593" t="str">
        <f t="shared" si="90"/>
        <v/>
      </c>
      <c r="E593" t="str">
        <f t="shared" si="93"/>
        <v/>
      </c>
      <c r="F593" t="str">
        <f t="shared" si="94"/>
        <v/>
      </c>
      <c r="G593" t="str">
        <f t="shared" si="95"/>
        <v/>
      </c>
      <c r="H593" t="str">
        <f t="shared" si="96"/>
        <v/>
      </c>
      <c r="I593" t="str">
        <f t="shared" si="91"/>
        <v/>
      </c>
      <c r="K593" t="str">
        <f t="shared" si="97"/>
        <v>Matchday 37</v>
      </c>
      <c r="L593" t="str">
        <f t="shared" si="98"/>
        <v/>
      </c>
    </row>
    <row r="594" spans="1:12" hidden="1">
      <c r="A594" t="str">
        <f>IF(Sheet1!A610="","",Sheet1!A610)</f>
        <v/>
      </c>
      <c r="C594" t="str">
        <f t="shared" si="92"/>
        <v/>
      </c>
      <c r="D594" t="str">
        <f t="shared" si="90"/>
        <v/>
      </c>
      <c r="E594" t="str">
        <f t="shared" si="93"/>
        <v/>
      </c>
      <c r="F594" t="str">
        <f t="shared" si="94"/>
        <v/>
      </c>
      <c r="G594" t="str">
        <f t="shared" si="95"/>
        <v/>
      </c>
      <c r="H594" t="str">
        <f t="shared" si="96"/>
        <v/>
      </c>
      <c r="I594" t="str">
        <f t="shared" si="91"/>
        <v/>
      </c>
      <c r="K594" t="str">
        <f t="shared" si="97"/>
        <v>Matchday 37</v>
      </c>
      <c r="L594" t="str">
        <f t="shared" si="98"/>
        <v/>
      </c>
    </row>
    <row r="595" spans="1:12" hidden="1">
      <c r="A595" t="str">
        <f>IF(Sheet1!A611="","",Sheet1!A611)</f>
        <v/>
      </c>
      <c r="C595" t="str">
        <f t="shared" si="92"/>
        <v/>
      </c>
      <c r="D595" t="str">
        <f t="shared" si="90"/>
        <v/>
      </c>
      <c r="E595" t="str">
        <f t="shared" si="93"/>
        <v/>
      </c>
      <c r="F595" t="str">
        <f t="shared" si="94"/>
        <v/>
      </c>
      <c r="G595" t="str">
        <f t="shared" si="95"/>
        <v/>
      </c>
      <c r="H595" t="str">
        <f t="shared" si="96"/>
        <v/>
      </c>
      <c r="I595" t="str">
        <f t="shared" si="91"/>
        <v/>
      </c>
      <c r="K595" t="str">
        <f t="shared" si="97"/>
        <v>Matchday 37</v>
      </c>
      <c r="L595" t="str">
        <f t="shared" si="98"/>
        <v/>
      </c>
    </row>
    <row r="596" spans="1:12" hidden="1">
      <c r="A596" t="str">
        <f>IF(Sheet1!A612="","",Sheet1!A612)</f>
        <v/>
      </c>
      <c r="C596" t="str">
        <f t="shared" si="92"/>
        <v/>
      </c>
      <c r="D596" t="str">
        <f t="shared" si="90"/>
        <v/>
      </c>
      <c r="E596" t="str">
        <f t="shared" si="93"/>
        <v/>
      </c>
      <c r="F596" t="str">
        <f t="shared" si="94"/>
        <v/>
      </c>
      <c r="G596" t="str">
        <f t="shared" si="95"/>
        <v/>
      </c>
      <c r="H596" t="str">
        <f t="shared" si="96"/>
        <v/>
      </c>
      <c r="I596" t="str">
        <f t="shared" si="91"/>
        <v/>
      </c>
      <c r="K596" t="str">
        <f t="shared" si="97"/>
        <v>Matchday 37</v>
      </c>
      <c r="L596" t="str">
        <f t="shared" si="98"/>
        <v/>
      </c>
    </row>
    <row r="597" spans="1:12" hidden="1">
      <c r="A597" t="str">
        <f>IF(Sheet1!A613="","",Sheet1!A613)</f>
        <v/>
      </c>
      <c r="C597" t="str">
        <f t="shared" si="92"/>
        <v/>
      </c>
      <c r="D597" t="str">
        <f t="shared" si="90"/>
        <v/>
      </c>
      <c r="E597" t="str">
        <f t="shared" si="93"/>
        <v/>
      </c>
      <c r="F597" t="str">
        <f t="shared" si="94"/>
        <v/>
      </c>
      <c r="G597" t="str">
        <f t="shared" si="95"/>
        <v/>
      </c>
      <c r="H597" t="str">
        <f t="shared" si="96"/>
        <v/>
      </c>
      <c r="I597" t="str">
        <f t="shared" si="91"/>
        <v/>
      </c>
      <c r="K597" t="str">
        <f t="shared" si="97"/>
        <v>Matchday 37</v>
      </c>
      <c r="L597" t="str">
        <f t="shared" si="98"/>
        <v/>
      </c>
    </row>
    <row r="598" spans="1:12" hidden="1">
      <c r="A598" t="str">
        <f>IF(Sheet1!A614="","",Sheet1!A614)</f>
        <v/>
      </c>
      <c r="C598" t="str">
        <f t="shared" si="92"/>
        <v/>
      </c>
      <c r="D598" t="str">
        <f t="shared" si="90"/>
        <v/>
      </c>
      <c r="E598" t="str">
        <f t="shared" si="93"/>
        <v/>
      </c>
      <c r="F598" t="str">
        <f t="shared" si="94"/>
        <v/>
      </c>
      <c r="G598" t="str">
        <f t="shared" si="95"/>
        <v/>
      </c>
      <c r="H598" t="str">
        <f t="shared" si="96"/>
        <v/>
      </c>
      <c r="I598" t="str">
        <f t="shared" si="91"/>
        <v/>
      </c>
      <c r="K598" t="str">
        <f t="shared" si="97"/>
        <v>Matchday 37</v>
      </c>
      <c r="L598" t="str">
        <f t="shared" si="98"/>
        <v/>
      </c>
    </row>
    <row r="599" spans="1:12" hidden="1">
      <c r="A599" t="str">
        <f>IF(Sheet1!A615="","",Sheet1!A615)</f>
        <v/>
      </c>
      <c r="C599" t="str">
        <f t="shared" si="92"/>
        <v/>
      </c>
      <c r="D599" t="str">
        <f t="shared" si="90"/>
        <v/>
      </c>
      <c r="E599" t="str">
        <f t="shared" si="93"/>
        <v/>
      </c>
      <c r="F599" t="str">
        <f t="shared" si="94"/>
        <v/>
      </c>
      <c r="G599" t="str">
        <f t="shared" si="95"/>
        <v/>
      </c>
      <c r="H599" t="str">
        <f t="shared" si="96"/>
        <v/>
      </c>
      <c r="I599" t="str">
        <f t="shared" si="91"/>
        <v/>
      </c>
      <c r="K599" t="str">
        <f t="shared" si="97"/>
        <v>Matchday 37</v>
      </c>
      <c r="L599" t="str">
        <f t="shared" si="98"/>
        <v/>
      </c>
    </row>
    <row r="600" spans="1:12" hidden="1">
      <c r="A600" t="str">
        <f>IF(Sheet1!A616="","",Sheet1!A616)</f>
        <v/>
      </c>
      <c r="C600" t="str">
        <f t="shared" si="92"/>
        <v/>
      </c>
      <c r="D600" t="str">
        <f t="shared" si="90"/>
        <v/>
      </c>
      <c r="E600" t="str">
        <f t="shared" si="93"/>
        <v/>
      </c>
      <c r="F600" t="str">
        <f t="shared" si="94"/>
        <v/>
      </c>
      <c r="G600" t="str">
        <f t="shared" si="95"/>
        <v/>
      </c>
      <c r="H600" t="str">
        <f t="shared" si="96"/>
        <v/>
      </c>
      <c r="I600" t="str">
        <f t="shared" si="91"/>
        <v/>
      </c>
      <c r="K600" t="str">
        <f t="shared" si="97"/>
        <v>Matchday 37</v>
      </c>
      <c r="L600" t="str">
        <f t="shared" si="98"/>
        <v/>
      </c>
    </row>
    <row r="601" spans="1:12" hidden="1">
      <c r="A601" t="str">
        <f>IF(Sheet1!A617="","",Sheet1!A617)</f>
        <v/>
      </c>
      <c r="C601" t="str">
        <f t="shared" si="92"/>
        <v/>
      </c>
      <c r="D601" t="str">
        <f t="shared" si="90"/>
        <v/>
      </c>
      <c r="E601" t="str">
        <f t="shared" si="93"/>
        <v/>
      </c>
      <c r="F601" t="str">
        <f t="shared" si="94"/>
        <v/>
      </c>
      <c r="G601" t="str">
        <f t="shared" si="95"/>
        <v/>
      </c>
      <c r="H601" t="str">
        <f t="shared" si="96"/>
        <v/>
      </c>
      <c r="I601" t="str">
        <f t="shared" si="91"/>
        <v/>
      </c>
      <c r="K601" t="str">
        <f t="shared" si="97"/>
        <v>Matchday 37</v>
      </c>
      <c r="L601" t="str">
        <f t="shared" si="98"/>
        <v/>
      </c>
    </row>
    <row r="602" spans="1:12" hidden="1">
      <c r="A602" t="str">
        <f>IF(Sheet1!A618="","",Sheet1!A618)</f>
        <v/>
      </c>
      <c r="C602" t="str">
        <f t="shared" si="92"/>
        <v/>
      </c>
      <c r="D602" t="str">
        <f t="shared" si="90"/>
        <v/>
      </c>
      <c r="E602" t="str">
        <f t="shared" si="93"/>
        <v/>
      </c>
      <c r="F602" t="str">
        <f t="shared" si="94"/>
        <v/>
      </c>
      <c r="G602" t="str">
        <f t="shared" si="95"/>
        <v/>
      </c>
      <c r="H602" t="str">
        <f t="shared" si="96"/>
        <v/>
      </c>
      <c r="I602" t="str">
        <f t="shared" si="91"/>
        <v/>
      </c>
      <c r="K602" t="str">
        <f t="shared" si="97"/>
        <v>Matchday 37</v>
      </c>
      <c r="L602" t="str">
        <f t="shared" si="98"/>
        <v/>
      </c>
    </row>
    <row r="603" spans="1:12" hidden="1">
      <c r="A603" t="str">
        <f>IF(Sheet1!A619="","",Sheet1!A619)</f>
        <v/>
      </c>
      <c r="C603" t="str">
        <f t="shared" si="92"/>
        <v/>
      </c>
      <c r="D603" t="str">
        <f t="shared" si="90"/>
        <v/>
      </c>
      <c r="E603" t="str">
        <f t="shared" si="93"/>
        <v/>
      </c>
      <c r="F603" t="str">
        <f t="shared" si="94"/>
        <v/>
      </c>
      <c r="G603" t="str">
        <f t="shared" si="95"/>
        <v/>
      </c>
      <c r="H603" t="str">
        <f t="shared" si="96"/>
        <v/>
      </c>
      <c r="I603" t="str">
        <f t="shared" si="91"/>
        <v/>
      </c>
      <c r="K603" t="str">
        <f t="shared" si="97"/>
        <v>Matchday 37</v>
      </c>
      <c r="L603" t="str">
        <f t="shared" si="98"/>
        <v/>
      </c>
    </row>
    <row r="604" spans="1:12" hidden="1">
      <c r="A604" t="str">
        <f>IF(Sheet1!A620="","",Sheet1!A620)</f>
        <v/>
      </c>
      <c r="C604" t="str">
        <f t="shared" si="92"/>
        <v/>
      </c>
      <c r="D604" t="str">
        <f t="shared" si="90"/>
        <v/>
      </c>
      <c r="E604" t="str">
        <f t="shared" si="93"/>
        <v/>
      </c>
      <c r="F604" t="str">
        <f t="shared" si="94"/>
        <v/>
      </c>
      <c r="G604" t="str">
        <f t="shared" si="95"/>
        <v/>
      </c>
      <c r="H604" t="str">
        <f t="shared" si="96"/>
        <v/>
      </c>
      <c r="I604" t="str">
        <f t="shared" si="91"/>
        <v/>
      </c>
      <c r="K604" t="str">
        <f t="shared" si="97"/>
        <v>Matchday 37</v>
      </c>
      <c r="L604" t="str">
        <f t="shared" si="98"/>
        <v/>
      </c>
    </row>
    <row r="605" spans="1:12" hidden="1">
      <c r="A605" t="str">
        <f>IF(Sheet1!A621="","",Sheet1!A621)</f>
        <v/>
      </c>
      <c r="C605" t="str">
        <f t="shared" si="92"/>
        <v/>
      </c>
      <c r="D605" t="str">
        <f t="shared" si="90"/>
        <v/>
      </c>
      <c r="E605" t="str">
        <f t="shared" si="93"/>
        <v/>
      </c>
      <c r="F605" t="str">
        <f t="shared" si="94"/>
        <v/>
      </c>
      <c r="G605" t="str">
        <f t="shared" si="95"/>
        <v/>
      </c>
      <c r="H605" t="str">
        <f t="shared" si="96"/>
        <v/>
      </c>
      <c r="I605" t="str">
        <f t="shared" si="91"/>
        <v/>
      </c>
      <c r="K605" t="str">
        <f t="shared" si="97"/>
        <v>Matchday 37</v>
      </c>
      <c r="L605" t="str">
        <f t="shared" si="98"/>
        <v/>
      </c>
    </row>
    <row r="606" spans="1:12" hidden="1">
      <c r="A606" t="str">
        <f>IF(Sheet1!A622="","",Sheet1!A622)</f>
        <v/>
      </c>
      <c r="C606" t="str">
        <f t="shared" si="92"/>
        <v/>
      </c>
      <c r="D606" t="str">
        <f t="shared" si="90"/>
        <v/>
      </c>
      <c r="E606" t="str">
        <f t="shared" si="93"/>
        <v/>
      </c>
      <c r="F606" t="str">
        <f t="shared" si="94"/>
        <v/>
      </c>
      <c r="G606" t="str">
        <f t="shared" si="95"/>
        <v/>
      </c>
      <c r="H606" t="str">
        <f t="shared" si="96"/>
        <v/>
      </c>
      <c r="I606" t="str">
        <f t="shared" si="91"/>
        <v/>
      </c>
      <c r="K606" t="str">
        <f t="shared" si="97"/>
        <v>Matchday 37</v>
      </c>
      <c r="L606" t="str">
        <f t="shared" si="98"/>
        <v/>
      </c>
    </row>
    <row r="607" spans="1:12" hidden="1">
      <c r="A607" t="str">
        <f>IF(Sheet1!A623="","",Sheet1!A623)</f>
        <v/>
      </c>
      <c r="C607" t="str">
        <f t="shared" si="92"/>
        <v/>
      </c>
      <c r="D607" t="str">
        <f t="shared" si="90"/>
        <v/>
      </c>
      <c r="E607" t="str">
        <f t="shared" si="93"/>
        <v/>
      </c>
      <c r="F607" t="str">
        <f t="shared" si="94"/>
        <v/>
      </c>
      <c r="G607" t="str">
        <f t="shared" si="95"/>
        <v/>
      </c>
      <c r="H607" t="str">
        <f t="shared" si="96"/>
        <v/>
      </c>
      <c r="I607" t="str">
        <f t="shared" si="91"/>
        <v/>
      </c>
      <c r="K607" t="str">
        <f t="shared" si="97"/>
        <v>Matchday 37</v>
      </c>
      <c r="L607" t="str">
        <f t="shared" si="98"/>
        <v/>
      </c>
    </row>
    <row r="608" spans="1:12" hidden="1">
      <c r="A608" t="str">
        <f>IF(Sheet1!A624="","",Sheet1!A624)</f>
        <v/>
      </c>
      <c r="C608" t="str">
        <f t="shared" si="92"/>
        <v/>
      </c>
      <c r="D608" t="str">
        <f t="shared" si="90"/>
        <v/>
      </c>
      <c r="E608" t="str">
        <f t="shared" si="93"/>
        <v/>
      </c>
      <c r="F608" t="str">
        <f t="shared" si="94"/>
        <v/>
      </c>
      <c r="G608" t="str">
        <f t="shared" si="95"/>
        <v/>
      </c>
      <c r="H608" t="str">
        <f t="shared" si="96"/>
        <v/>
      </c>
      <c r="I608" t="str">
        <f t="shared" si="91"/>
        <v/>
      </c>
      <c r="K608" t="str">
        <f t="shared" si="97"/>
        <v>Matchday 37</v>
      </c>
      <c r="L608" t="str">
        <f t="shared" si="98"/>
        <v/>
      </c>
    </row>
    <row r="609" spans="1:12" hidden="1">
      <c r="A609" t="str">
        <f>IF(Sheet1!A625="","",Sheet1!A625)</f>
        <v/>
      </c>
      <c r="C609" t="str">
        <f t="shared" si="92"/>
        <v/>
      </c>
      <c r="D609" t="str">
        <f t="shared" si="90"/>
        <v/>
      </c>
      <c r="E609" t="str">
        <f t="shared" si="93"/>
        <v/>
      </c>
      <c r="F609" t="str">
        <f t="shared" si="94"/>
        <v/>
      </c>
      <c r="G609" t="str">
        <f t="shared" si="95"/>
        <v/>
      </c>
      <c r="H609" t="str">
        <f t="shared" si="96"/>
        <v/>
      </c>
      <c r="I609" t="str">
        <f t="shared" si="91"/>
        <v/>
      </c>
      <c r="K609" t="str">
        <f t="shared" si="97"/>
        <v>Matchday 37</v>
      </c>
      <c r="L609" t="str">
        <f t="shared" si="98"/>
        <v/>
      </c>
    </row>
    <row r="610" spans="1:12" hidden="1">
      <c r="A610" t="str">
        <f>IF(Sheet1!A626="","",Sheet1!A626)</f>
        <v/>
      </c>
      <c r="C610" t="str">
        <f t="shared" si="92"/>
        <v/>
      </c>
      <c r="D610" t="str">
        <f t="shared" si="90"/>
        <v/>
      </c>
      <c r="E610" t="str">
        <f t="shared" si="93"/>
        <v/>
      </c>
      <c r="F610" t="str">
        <f t="shared" si="94"/>
        <v/>
      </c>
      <c r="G610" t="str">
        <f t="shared" si="95"/>
        <v/>
      </c>
      <c r="H610" t="str">
        <f t="shared" si="96"/>
        <v/>
      </c>
      <c r="I610" t="str">
        <f t="shared" si="91"/>
        <v/>
      </c>
      <c r="K610" t="str">
        <f t="shared" si="97"/>
        <v>Matchday 37</v>
      </c>
      <c r="L610" t="str">
        <f t="shared" si="98"/>
        <v/>
      </c>
    </row>
    <row r="611" spans="1:12" hidden="1">
      <c r="A611" t="str">
        <f>IF(Sheet1!A627="","",Sheet1!A627)</f>
        <v/>
      </c>
      <c r="C611" t="str">
        <f t="shared" si="92"/>
        <v/>
      </c>
      <c r="D611" t="str">
        <f t="shared" si="90"/>
        <v/>
      </c>
      <c r="E611" t="str">
        <f t="shared" si="93"/>
        <v/>
      </c>
      <c r="F611" t="str">
        <f t="shared" si="94"/>
        <v/>
      </c>
      <c r="G611" t="str">
        <f t="shared" si="95"/>
        <v/>
      </c>
      <c r="H611" t="str">
        <f t="shared" si="96"/>
        <v/>
      </c>
      <c r="I611" t="str">
        <f t="shared" si="91"/>
        <v/>
      </c>
      <c r="K611" t="str">
        <f t="shared" si="97"/>
        <v>Matchday 37</v>
      </c>
      <c r="L611" t="str">
        <f t="shared" si="98"/>
        <v/>
      </c>
    </row>
    <row r="612" spans="1:12" hidden="1">
      <c r="A612" t="str">
        <f>IF(Sheet1!A628="","",Sheet1!A628)</f>
        <v/>
      </c>
      <c r="C612" t="str">
        <f t="shared" si="92"/>
        <v/>
      </c>
      <c r="D612" t="str">
        <f t="shared" si="90"/>
        <v/>
      </c>
      <c r="E612" t="str">
        <f t="shared" si="93"/>
        <v/>
      </c>
      <c r="F612" t="str">
        <f t="shared" si="94"/>
        <v/>
      </c>
      <c r="G612" t="str">
        <f t="shared" si="95"/>
        <v/>
      </c>
      <c r="H612" t="str">
        <f t="shared" si="96"/>
        <v/>
      </c>
      <c r="I612" t="str">
        <f t="shared" si="91"/>
        <v/>
      </c>
      <c r="K612" t="str">
        <f t="shared" si="97"/>
        <v>Matchday 37</v>
      </c>
      <c r="L612" t="str">
        <f t="shared" si="98"/>
        <v/>
      </c>
    </row>
    <row r="613" spans="1:12" hidden="1">
      <c r="A613" t="str">
        <f>IF(Sheet1!A629="","",Sheet1!A629)</f>
        <v/>
      </c>
      <c r="C613" t="str">
        <f t="shared" si="92"/>
        <v/>
      </c>
      <c r="D613" t="str">
        <f t="shared" si="90"/>
        <v/>
      </c>
      <c r="E613" t="str">
        <f t="shared" si="93"/>
        <v/>
      </c>
      <c r="F613" t="str">
        <f t="shared" si="94"/>
        <v/>
      </c>
      <c r="G613" t="str">
        <f t="shared" si="95"/>
        <v/>
      </c>
      <c r="H613" t="str">
        <f t="shared" si="96"/>
        <v/>
      </c>
      <c r="I613" t="str">
        <f t="shared" si="91"/>
        <v/>
      </c>
      <c r="K613" t="str">
        <f t="shared" si="97"/>
        <v>Matchday 37</v>
      </c>
      <c r="L613" t="str">
        <f t="shared" si="98"/>
        <v/>
      </c>
    </row>
    <row r="614" spans="1:12" hidden="1">
      <c r="A614" t="str">
        <f>IF(Sheet1!A630="","",Sheet1!A630)</f>
        <v/>
      </c>
      <c r="C614" t="str">
        <f t="shared" si="92"/>
        <v/>
      </c>
      <c r="D614" t="str">
        <f t="shared" si="90"/>
        <v/>
      </c>
      <c r="E614" t="str">
        <f t="shared" si="93"/>
        <v/>
      </c>
      <c r="F614" t="str">
        <f t="shared" si="94"/>
        <v/>
      </c>
      <c r="G614" t="str">
        <f t="shared" si="95"/>
        <v/>
      </c>
      <c r="H614" t="str">
        <f t="shared" si="96"/>
        <v/>
      </c>
      <c r="I614" t="str">
        <f t="shared" si="91"/>
        <v/>
      </c>
      <c r="K614" t="str">
        <f t="shared" si="97"/>
        <v>Matchday 37</v>
      </c>
      <c r="L614" t="str">
        <f t="shared" si="98"/>
        <v/>
      </c>
    </row>
    <row r="615" spans="1:12" hidden="1">
      <c r="A615" t="str">
        <f>IF(Sheet1!A631="","",Sheet1!A631)</f>
        <v/>
      </c>
      <c r="C615" t="str">
        <f t="shared" si="92"/>
        <v/>
      </c>
      <c r="D615" t="str">
        <f t="shared" si="90"/>
        <v/>
      </c>
      <c r="E615" t="str">
        <f t="shared" si="93"/>
        <v/>
      </c>
      <c r="F615" t="str">
        <f t="shared" si="94"/>
        <v/>
      </c>
      <c r="G615" t="str">
        <f t="shared" si="95"/>
        <v/>
      </c>
      <c r="H615" t="str">
        <f t="shared" si="96"/>
        <v/>
      </c>
      <c r="I615" t="str">
        <f t="shared" si="91"/>
        <v/>
      </c>
      <c r="K615" t="str">
        <f t="shared" si="97"/>
        <v>Matchday 37</v>
      </c>
      <c r="L615" t="str">
        <f t="shared" si="98"/>
        <v/>
      </c>
    </row>
    <row r="616" spans="1:12" hidden="1">
      <c r="A616" t="str">
        <f>IF(Sheet1!A632="","",Sheet1!A632)</f>
        <v/>
      </c>
      <c r="C616" t="str">
        <f t="shared" si="92"/>
        <v/>
      </c>
      <c r="D616" t="str">
        <f t="shared" si="90"/>
        <v/>
      </c>
      <c r="E616" t="str">
        <f t="shared" si="93"/>
        <v/>
      </c>
      <c r="F616" t="str">
        <f t="shared" si="94"/>
        <v/>
      </c>
      <c r="G616" t="str">
        <f t="shared" si="95"/>
        <v/>
      </c>
      <c r="H616" t="str">
        <f t="shared" si="96"/>
        <v/>
      </c>
      <c r="I616" t="str">
        <f t="shared" si="91"/>
        <v/>
      </c>
      <c r="K616" t="str">
        <f t="shared" si="97"/>
        <v>Matchday 37</v>
      </c>
      <c r="L616" t="str">
        <f t="shared" si="98"/>
        <v/>
      </c>
    </row>
    <row r="617" spans="1:12" hidden="1">
      <c r="A617" t="str">
        <f>IF(Sheet1!A633="","",Sheet1!A633)</f>
        <v/>
      </c>
      <c r="C617" t="str">
        <f t="shared" si="92"/>
        <v/>
      </c>
      <c r="D617" t="str">
        <f t="shared" si="90"/>
        <v/>
      </c>
      <c r="E617" t="str">
        <f t="shared" si="93"/>
        <v/>
      </c>
      <c r="F617" t="str">
        <f t="shared" si="94"/>
        <v/>
      </c>
      <c r="G617" t="str">
        <f t="shared" si="95"/>
        <v/>
      </c>
      <c r="H617" t="str">
        <f t="shared" si="96"/>
        <v/>
      </c>
      <c r="I617" t="str">
        <f t="shared" si="91"/>
        <v/>
      </c>
      <c r="K617" t="str">
        <f t="shared" si="97"/>
        <v>Matchday 37</v>
      </c>
      <c r="L617" t="str">
        <f t="shared" si="98"/>
        <v/>
      </c>
    </row>
    <row r="618" spans="1:12" hidden="1">
      <c r="A618" t="str">
        <f>IF(Sheet1!A634="","",Sheet1!A634)</f>
        <v/>
      </c>
      <c r="C618" t="str">
        <f t="shared" si="92"/>
        <v/>
      </c>
      <c r="D618" t="str">
        <f t="shared" si="90"/>
        <v/>
      </c>
      <c r="E618" t="str">
        <f t="shared" si="93"/>
        <v/>
      </c>
      <c r="F618" t="str">
        <f t="shared" si="94"/>
        <v/>
      </c>
      <c r="G618" t="str">
        <f t="shared" si="95"/>
        <v/>
      </c>
      <c r="H618" t="str">
        <f t="shared" si="96"/>
        <v/>
      </c>
      <c r="I618" t="str">
        <f t="shared" si="91"/>
        <v/>
      </c>
      <c r="K618" t="str">
        <f t="shared" si="97"/>
        <v>Matchday 37</v>
      </c>
      <c r="L618" t="str">
        <f t="shared" si="98"/>
        <v/>
      </c>
    </row>
    <row r="619" spans="1:12" hidden="1">
      <c r="A619" t="str">
        <f>IF(Sheet1!A635="","",Sheet1!A635)</f>
        <v/>
      </c>
      <c r="C619" t="str">
        <f t="shared" si="92"/>
        <v/>
      </c>
      <c r="D619" t="str">
        <f t="shared" si="90"/>
        <v/>
      </c>
      <c r="E619" t="str">
        <f t="shared" si="93"/>
        <v/>
      </c>
      <c r="F619" t="str">
        <f t="shared" si="94"/>
        <v/>
      </c>
      <c r="G619" t="str">
        <f t="shared" si="95"/>
        <v/>
      </c>
      <c r="H619" t="str">
        <f t="shared" si="96"/>
        <v/>
      </c>
      <c r="I619" t="str">
        <f t="shared" si="91"/>
        <v/>
      </c>
      <c r="K619" t="str">
        <f t="shared" si="97"/>
        <v>Matchday 37</v>
      </c>
      <c r="L619" t="str">
        <f t="shared" si="98"/>
        <v/>
      </c>
    </row>
    <row r="620" spans="1:12" hidden="1">
      <c r="A620" t="str">
        <f>IF(Sheet1!A636="","",Sheet1!A636)</f>
        <v/>
      </c>
      <c r="C620" t="str">
        <f t="shared" si="92"/>
        <v/>
      </c>
      <c r="D620" t="str">
        <f t="shared" si="90"/>
        <v/>
      </c>
      <c r="E620" t="str">
        <f t="shared" si="93"/>
        <v/>
      </c>
      <c r="F620" t="str">
        <f t="shared" si="94"/>
        <v/>
      </c>
      <c r="G620" t="str">
        <f t="shared" si="95"/>
        <v/>
      </c>
      <c r="H620" t="str">
        <f t="shared" si="96"/>
        <v/>
      </c>
      <c r="I620" t="str">
        <f t="shared" si="91"/>
        <v/>
      </c>
      <c r="K620" t="str">
        <f t="shared" si="97"/>
        <v>Matchday 37</v>
      </c>
      <c r="L620" t="str">
        <f t="shared" si="98"/>
        <v/>
      </c>
    </row>
    <row r="621" spans="1:12" hidden="1">
      <c r="A621" t="str">
        <f>IF(Sheet1!A637="","",Sheet1!A637)</f>
        <v/>
      </c>
      <c r="C621" t="str">
        <f t="shared" si="92"/>
        <v/>
      </c>
      <c r="D621" t="str">
        <f t="shared" si="90"/>
        <v/>
      </c>
      <c r="E621" t="str">
        <f t="shared" si="93"/>
        <v/>
      </c>
      <c r="F621" t="str">
        <f t="shared" si="94"/>
        <v/>
      </c>
      <c r="G621" t="str">
        <f t="shared" si="95"/>
        <v/>
      </c>
      <c r="H621" t="str">
        <f t="shared" si="96"/>
        <v/>
      </c>
      <c r="I621" t="str">
        <f t="shared" si="91"/>
        <v/>
      </c>
      <c r="K621" t="str">
        <f t="shared" si="97"/>
        <v>Matchday 37</v>
      </c>
      <c r="L621" t="str">
        <f t="shared" si="98"/>
        <v/>
      </c>
    </row>
    <row r="622" spans="1:12" hidden="1">
      <c r="A622" t="str">
        <f>IF(Sheet1!A638="","",Sheet1!A638)</f>
        <v/>
      </c>
      <c r="C622" t="str">
        <f t="shared" si="92"/>
        <v/>
      </c>
      <c r="D622" t="str">
        <f t="shared" si="90"/>
        <v/>
      </c>
      <c r="E622" t="str">
        <f t="shared" si="93"/>
        <v/>
      </c>
      <c r="F622" t="str">
        <f t="shared" si="94"/>
        <v/>
      </c>
      <c r="G622" t="str">
        <f t="shared" si="95"/>
        <v/>
      </c>
      <c r="H622" t="str">
        <f t="shared" si="96"/>
        <v/>
      </c>
      <c r="I622" t="str">
        <f t="shared" si="91"/>
        <v/>
      </c>
      <c r="K622" t="str">
        <f t="shared" si="97"/>
        <v>Matchday 37</v>
      </c>
      <c r="L622" t="str">
        <f t="shared" si="98"/>
        <v/>
      </c>
    </row>
    <row r="623" spans="1:12" hidden="1">
      <c r="A623" t="str">
        <f>IF(Sheet1!A639="","",Sheet1!A639)</f>
        <v/>
      </c>
      <c r="C623" t="str">
        <f t="shared" si="92"/>
        <v/>
      </c>
      <c r="D623" t="str">
        <f t="shared" si="90"/>
        <v/>
      </c>
      <c r="E623" t="str">
        <f t="shared" si="93"/>
        <v/>
      </c>
      <c r="F623" t="str">
        <f t="shared" si="94"/>
        <v/>
      </c>
      <c r="G623" t="str">
        <f t="shared" si="95"/>
        <v/>
      </c>
      <c r="H623" t="str">
        <f t="shared" si="96"/>
        <v/>
      </c>
      <c r="I623" t="str">
        <f t="shared" si="91"/>
        <v/>
      </c>
      <c r="K623" t="str">
        <f t="shared" si="97"/>
        <v>Matchday 37</v>
      </c>
      <c r="L623" t="str">
        <f t="shared" si="98"/>
        <v/>
      </c>
    </row>
    <row r="624" spans="1:12" hidden="1">
      <c r="A624" t="str">
        <f>IF(Sheet1!A640="","",Sheet1!A640)</f>
        <v/>
      </c>
      <c r="C624" t="str">
        <f t="shared" si="92"/>
        <v/>
      </c>
      <c r="D624" t="str">
        <f t="shared" si="90"/>
        <v/>
      </c>
      <c r="E624" t="str">
        <f t="shared" si="93"/>
        <v/>
      </c>
      <c r="F624" t="str">
        <f t="shared" si="94"/>
        <v/>
      </c>
      <c r="G624" t="str">
        <f t="shared" si="95"/>
        <v/>
      </c>
      <c r="H624" t="str">
        <f t="shared" si="96"/>
        <v/>
      </c>
      <c r="I624" t="str">
        <f t="shared" si="91"/>
        <v/>
      </c>
      <c r="K624" t="str">
        <f t="shared" si="97"/>
        <v>Matchday 37</v>
      </c>
      <c r="L624" t="str">
        <f t="shared" si="98"/>
        <v/>
      </c>
    </row>
    <row r="625" spans="1:12" hidden="1">
      <c r="A625" t="str">
        <f>IF(Sheet1!A641="","",Sheet1!A641)</f>
        <v/>
      </c>
      <c r="C625" t="str">
        <f t="shared" si="92"/>
        <v/>
      </c>
      <c r="D625" t="str">
        <f t="shared" si="90"/>
        <v/>
      </c>
      <c r="E625" t="str">
        <f t="shared" si="93"/>
        <v/>
      </c>
      <c r="F625" t="str">
        <f t="shared" si="94"/>
        <v/>
      </c>
      <c r="G625" t="str">
        <f t="shared" si="95"/>
        <v/>
      </c>
      <c r="H625" t="str">
        <f t="shared" si="96"/>
        <v/>
      </c>
      <c r="I625" t="str">
        <f t="shared" si="91"/>
        <v/>
      </c>
      <c r="K625" t="str">
        <f t="shared" si="97"/>
        <v>Matchday 37</v>
      </c>
      <c r="L625" t="str">
        <f t="shared" si="98"/>
        <v/>
      </c>
    </row>
    <row r="626" spans="1:12" hidden="1">
      <c r="A626" t="str">
        <f>IF(Sheet1!A642="","",Sheet1!A642)</f>
        <v/>
      </c>
      <c r="C626" t="str">
        <f t="shared" si="92"/>
        <v/>
      </c>
      <c r="D626" t="str">
        <f t="shared" si="90"/>
        <v/>
      </c>
      <c r="E626" t="str">
        <f t="shared" si="93"/>
        <v/>
      </c>
      <c r="F626" t="str">
        <f t="shared" si="94"/>
        <v/>
      </c>
      <c r="G626" t="str">
        <f t="shared" si="95"/>
        <v/>
      </c>
      <c r="H626" t="str">
        <f t="shared" si="96"/>
        <v/>
      </c>
      <c r="I626" t="str">
        <f t="shared" si="91"/>
        <v/>
      </c>
      <c r="K626" t="str">
        <f t="shared" si="97"/>
        <v>Matchday 37</v>
      </c>
      <c r="L626" t="str">
        <f t="shared" si="98"/>
        <v/>
      </c>
    </row>
    <row r="627" spans="1:12" hidden="1">
      <c r="A627" t="str">
        <f>IF(Sheet1!A643="","",Sheet1!A643)</f>
        <v/>
      </c>
      <c r="C627" t="str">
        <f t="shared" si="92"/>
        <v/>
      </c>
      <c r="D627" t="str">
        <f t="shared" si="90"/>
        <v/>
      </c>
      <c r="E627" t="str">
        <f t="shared" si="93"/>
        <v/>
      </c>
      <c r="F627" t="str">
        <f t="shared" si="94"/>
        <v/>
      </c>
      <c r="G627" t="str">
        <f t="shared" si="95"/>
        <v/>
      </c>
      <c r="H627" t="str">
        <f t="shared" si="96"/>
        <v/>
      </c>
      <c r="I627" t="str">
        <f t="shared" si="91"/>
        <v/>
      </c>
      <c r="K627" t="str">
        <f t="shared" si="97"/>
        <v>Matchday 37</v>
      </c>
      <c r="L627" t="str">
        <f t="shared" si="98"/>
        <v/>
      </c>
    </row>
    <row r="628" spans="1:12" hidden="1">
      <c r="A628" t="str">
        <f>IF(Sheet1!A644="","",Sheet1!A644)</f>
        <v/>
      </c>
      <c r="C628" t="str">
        <f t="shared" si="92"/>
        <v/>
      </c>
      <c r="D628" t="str">
        <f t="shared" si="90"/>
        <v/>
      </c>
      <c r="E628" t="str">
        <f t="shared" si="93"/>
        <v/>
      </c>
      <c r="F628" t="str">
        <f t="shared" si="94"/>
        <v/>
      </c>
      <c r="G628" t="str">
        <f t="shared" si="95"/>
        <v/>
      </c>
      <c r="H628" t="str">
        <f t="shared" si="96"/>
        <v/>
      </c>
      <c r="I628" t="str">
        <f t="shared" si="91"/>
        <v/>
      </c>
      <c r="K628" t="str">
        <f t="shared" si="97"/>
        <v>Matchday 37</v>
      </c>
      <c r="L628" t="str">
        <f t="shared" si="98"/>
        <v/>
      </c>
    </row>
    <row r="629" spans="1:12" hidden="1">
      <c r="A629" t="str">
        <f>IF(Sheet1!A645="","",Sheet1!A645)</f>
        <v/>
      </c>
      <c r="C629" t="str">
        <f t="shared" si="92"/>
        <v/>
      </c>
      <c r="D629" t="str">
        <f t="shared" si="90"/>
        <v/>
      </c>
      <c r="E629" t="str">
        <f t="shared" si="93"/>
        <v/>
      </c>
      <c r="F629" t="str">
        <f t="shared" si="94"/>
        <v/>
      </c>
      <c r="G629" t="str">
        <f t="shared" si="95"/>
        <v/>
      </c>
      <c r="H629" t="str">
        <f t="shared" si="96"/>
        <v/>
      </c>
      <c r="I629" t="str">
        <f t="shared" si="91"/>
        <v/>
      </c>
      <c r="K629" t="str">
        <f t="shared" si="97"/>
        <v>Matchday 37</v>
      </c>
      <c r="L629" t="str">
        <f t="shared" si="98"/>
        <v/>
      </c>
    </row>
    <row r="630" spans="1:12" hidden="1">
      <c r="A630" t="str">
        <f>IF(Sheet1!A646="","",Sheet1!A646)</f>
        <v/>
      </c>
      <c r="C630" t="str">
        <f t="shared" si="92"/>
        <v/>
      </c>
      <c r="D630" t="str">
        <f t="shared" si="90"/>
        <v/>
      </c>
      <c r="E630" t="str">
        <f t="shared" si="93"/>
        <v/>
      </c>
      <c r="F630" t="str">
        <f t="shared" si="94"/>
        <v/>
      </c>
      <c r="G630" t="str">
        <f t="shared" si="95"/>
        <v/>
      </c>
      <c r="H630" t="str">
        <f t="shared" si="96"/>
        <v/>
      </c>
      <c r="I630" t="str">
        <f t="shared" si="91"/>
        <v/>
      </c>
      <c r="K630" t="str">
        <f t="shared" si="97"/>
        <v>Matchday 37</v>
      </c>
      <c r="L630" t="str">
        <f t="shared" si="98"/>
        <v/>
      </c>
    </row>
    <row r="631" spans="1:12" hidden="1">
      <c r="A631" t="str">
        <f>IF(Sheet1!A647="","",Sheet1!A647)</f>
        <v/>
      </c>
      <c r="C631" t="str">
        <f t="shared" si="92"/>
        <v/>
      </c>
      <c r="D631" t="str">
        <f t="shared" si="90"/>
        <v/>
      </c>
      <c r="E631" t="str">
        <f t="shared" si="93"/>
        <v/>
      </c>
      <c r="F631" t="str">
        <f t="shared" si="94"/>
        <v/>
      </c>
      <c r="G631" t="str">
        <f t="shared" si="95"/>
        <v/>
      </c>
      <c r="H631" t="str">
        <f t="shared" si="96"/>
        <v/>
      </c>
      <c r="I631" t="str">
        <f t="shared" si="91"/>
        <v/>
      </c>
      <c r="K631" t="str">
        <f t="shared" si="97"/>
        <v>Matchday 37</v>
      </c>
      <c r="L631" t="str">
        <f t="shared" si="98"/>
        <v/>
      </c>
    </row>
    <row r="632" spans="1:12" hidden="1">
      <c r="A632" t="str">
        <f>IF(Sheet1!A648="","",Sheet1!A648)</f>
        <v/>
      </c>
      <c r="C632" t="str">
        <f t="shared" si="92"/>
        <v/>
      </c>
      <c r="D632" t="str">
        <f t="shared" si="90"/>
        <v/>
      </c>
      <c r="E632" t="str">
        <f t="shared" si="93"/>
        <v/>
      </c>
      <c r="F632" t="str">
        <f t="shared" si="94"/>
        <v/>
      </c>
      <c r="G632" t="str">
        <f t="shared" si="95"/>
        <v/>
      </c>
      <c r="H632" t="str">
        <f t="shared" si="96"/>
        <v/>
      </c>
      <c r="I632" t="str">
        <f t="shared" si="91"/>
        <v/>
      </c>
      <c r="K632" t="str">
        <f t="shared" si="97"/>
        <v>Matchday 37</v>
      </c>
      <c r="L632" t="str">
        <f t="shared" si="98"/>
        <v/>
      </c>
    </row>
    <row r="633" spans="1:12" hidden="1">
      <c r="A633" t="str">
        <f>IF(Sheet1!A649="","",Sheet1!A649)</f>
        <v/>
      </c>
      <c r="C633" t="str">
        <f t="shared" si="92"/>
        <v/>
      </c>
      <c r="D633" t="str">
        <f t="shared" si="90"/>
        <v/>
      </c>
      <c r="E633" t="str">
        <f t="shared" si="93"/>
        <v/>
      </c>
      <c r="F633" t="str">
        <f t="shared" si="94"/>
        <v/>
      </c>
      <c r="G633" t="str">
        <f t="shared" si="95"/>
        <v/>
      </c>
      <c r="H633" t="str">
        <f t="shared" si="96"/>
        <v/>
      </c>
      <c r="I633" t="str">
        <f t="shared" si="91"/>
        <v/>
      </c>
      <c r="K633" t="str">
        <f t="shared" si="97"/>
        <v>Matchday 37</v>
      </c>
      <c r="L633" t="str">
        <f t="shared" si="98"/>
        <v/>
      </c>
    </row>
    <row r="634" spans="1:12" hidden="1">
      <c r="A634" t="str">
        <f>IF(Sheet1!A650="","",Sheet1!A650)</f>
        <v/>
      </c>
      <c r="C634" t="str">
        <f t="shared" si="92"/>
        <v/>
      </c>
      <c r="D634" t="str">
        <f t="shared" si="90"/>
        <v/>
      </c>
      <c r="E634" t="str">
        <f t="shared" si="93"/>
        <v/>
      </c>
      <c r="F634" t="str">
        <f t="shared" si="94"/>
        <v/>
      </c>
      <c r="G634" t="str">
        <f t="shared" si="95"/>
        <v/>
      </c>
      <c r="H634" t="str">
        <f t="shared" si="96"/>
        <v/>
      </c>
      <c r="I634" t="str">
        <f t="shared" si="91"/>
        <v/>
      </c>
      <c r="K634" t="str">
        <f t="shared" si="97"/>
        <v>Matchday 37</v>
      </c>
      <c r="L634" t="str">
        <f t="shared" si="98"/>
        <v/>
      </c>
    </row>
  </sheetData>
  <autoFilter ref="E1:E634">
    <filterColumn colId="0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81"/>
  <sheetViews>
    <sheetView tabSelected="1" workbookViewId="0">
      <selection activeCell="G1" sqref="G1:G1048576"/>
    </sheetView>
  </sheetViews>
  <sheetFormatPr defaultRowHeight="15"/>
  <cols>
    <col min="3" max="3" width="24.140625" bestFit="1" customWidth="1"/>
    <col min="4" max="4" width="9.5703125" bestFit="1" customWidth="1"/>
    <col min="5" max="5" width="12" bestFit="1" customWidth="1"/>
    <col min="6" max="6" width="9.5703125" bestFit="1" customWidth="1"/>
    <col min="7" max="7" width="12.7109375" style="3" bestFit="1" customWidth="1"/>
    <col min="8" max="8" width="9.5703125" bestFit="1" customWidth="1"/>
    <col min="9" max="9" width="32.28515625" bestFit="1" customWidth="1"/>
    <col min="10" max="10" width="9.5703125" bestFit="1" customWidth="1"/>
    <col min="11" max="11" width="5.85546875" customWidth="1"/>
    <col min="12" max="12" width="9.28515625" customWidth="1"/>
    <col min="13" max="13" width="9.7109375" bestFit="1" customWidth="1"/>
    <col min="14" max="14" width="9.5703125" bestFit="1" customWidth="1"/>
    <col min="15" max="15" width="29.28515625" bestFit="1" customWidth="1"/>
    <col min="27" max="27" width="5.5703125" bestFit="1" customWidth="1"/>
    <col min="28" max="28" width="32.28515625" bestFit="1" customWidth="1"/>
    <col min="29" max="29" width="5.85546875" bestFit="1" customWidth="1"/>
    <col min="30" max="30" width="9.7109375" bestFit="1" customWidth="1"/>
    <col min="31" max="31" width="29.28515625" bestFit="1" customWidth="1"/>
    <col min="32" max="32" width="12" bestFit="1" customWidth="1"/>
    <col min="33" max="33" width="13.7109375" bestFit="1" customWidth="1"/>
  </cols>
  <sheetData>
    <row r="1" spans="1:16">
      <c r="C1" t="s">
        <v>474</v>
      </c>
      <c r="E1" t="s">
        <v>475</v>
      </c>
      <c r="G1" s="3" t="s">
        <v>469</v>
      </c>
      <c r="I1" t="s">
        <v>470</v>
      </c>
      <c r="K1" t="s">
        <v>471</v>
      </c>
      <c r="M1" t="s">
        <v>473</v>
      </c>
      <c r="O1" t="s">
        <v>472</v>
      </c>
    </row>
    <row r="2" spans="1:16">
      <c r="A2" t="str">
        <f>CONCATENATE(B2,C2,D2,E2,F2,G2,H2,I2,J2,K2,L2,M2,N2,O2,P2)</f>
        <v>&lt;tr&gt;&lt;td&gt;2020-Sep-12&lt;/td&gt;&lt;td&gt;Matchday 1&lt;/td&gt;&lt;td&gt;&lt;/td&gt;&lt;td&gt;Burnley FC &lt;/td&gt;&lt;td&gt; - &lt;/td&gt;&lt;td&gt;&lt;/td&gt;&lt;td&gt;Manchester United&lt;/td&gt;&lt;/tr&gt;</v>
      </c>
      <c r="B2" t="s">
        <v>718</v>
      </c>
      <c r="C2" t="s">
        <v>687</v>
      </c>
      <c r="D2" t="s">
        <v>651</v>
      </c>
      <c r="E2" t="s">
        <v>1</v>
      </c>
      <c r="F2" t="s">
        <v>651</v>
      </c>
      <c r="G2" s="3" t="s">
        <v>476</v>
      </c>
      <c r="H2" t="s">
        <v>651</v>
      </c>
      <c r="I2" t="s">
        <v>477</v>
      </c>
      <c r="J2" t="s">
        <v>651</v>
      </c>
      <c r="K2" t="s">
        <v>478</v>
      </c>
      <c r="L2" t="s">
        <v>651</v>
      </c>
      <c r="M2" t="s">
        <v>476</v>
      </c>
      <c r="N2" t="s">
        <v>651</v>
      </c>
      <c r="O2" t="s">
        <v>479</v>
      </c>
      <c r="P2" t="s">
        <v>719</v>
      </c>
    </row>
    <row r="3" spans="1:16">
      <c r="A3" t="str">
        <f t="shared" ref="A3:A66" si="0">CONCATENATE(B3,C3,D3,E3,F3,G3,H3,I3,J3,K3,L3,M3,N3,O3,P3)</f>
        <v>&lt;tr&gt;&lt;td&gt;2020-Sep-12&lt;/td&gt;&lt;td&gt;Matchday 1&lt;/td&gt;&lt;td&gt;&lt;/td&gt;&lt;td&gt;Manchester City FC &lt;/td&gt;&lt;td&gt; - &lt;/td&gt;&lt;td&gt;&lt;/td&gt;&lt;td&gt;Aston Villa FC&lt;/td&gt;&lt;/tr&gt;</v>
      </c>
      <c r="B3" t="s">
        <v>718</v>
      </c>
      <c r="C3" t="s">
        <v>687</v>
      </c>
      <c r="D3" t="s">
        <v>651</v>
      </c>
      <c r="E3" t="s">
        <v>1</v>
      </c>
      <c r="F3" t="s">
        <v>651</v>
      </c>
      <c r="G3" s="3" t="s">
        <v>476</v>
      </c>
      <c r="H3" t="s">
        <v>651</v>
      </c>
      <c r="I3" t="s">
        <v>480</v>
      </c>
      <c r="J3" t="s">
        <v>651</v>
      </c>
      <c r="K3" t="s">
        <v>478</v>
      </c>
      <c r="L3" t="s">
        <v>651</v>
      </c>
      <c r="M3" t="s">
        <v>476</v>
      </c>
      <c r="N3" t="s">
        <v>651</v>
      </c>
      <c r="O3" t="s">
        <v>481</v>
      </c>
      <c r="P3" t="s">
        <v>719</v>
      </c>
    </row>
    <row r="4" spans="1:16">
      <c r="A4" t="str">
        <f t="shared" si="0"/>
        <v>&lt;tr&gt;&lt;td&gt;2020-Sep-12&lt;/td&gt;&lt;td&gt;Matchday 1&lt;/td&gt;&lt;td&gt;0,520833333333333&lt;/td&gt;&lt;td&gt;Fulham FC&lt;/td&gt;&lt;td&gt;0-3&lt;/td&gt;&lt;td&gt;0-1&lt;/td&gt;&lt;td&gt;Arsenal FC&lt;/td&gt;&lt;/tr&gt;</v>
      </c>
      <c r="B4" t="s">
        <v>718</v>
      </c>
      <c r="C4" t="s">
        <v>687</v>
      </c>
      <c r="D4" t="s">
        <v>651</v>
      </c>
      <c r="E4" t="s">
        <v>1</v>
      </c>
      <c r="F4" t="s">
        <v>651</v>
      </c>
      <c r="G4" s="3">
        <v>0.52083333333333337</v>
      </c>
      <c r="H4" t="s">
        <v>651</v>
      </c>
      <c r="I4" t="s">
        <v>482</v>
      </c>
      <c r="J4" t="s">
        <v>651</v>
      </c>
      <c r="K4" t="s">
        <v>483</v>
      </c>
      <c r="L4" t="s">
        <v>651</v>
      </c>
      <c r="M4" t="s">
        <v>484</v>
      </c>
      <c r="N4" t="s">
        <v>651</v>
      </c>
      <c r="O4" t="s">
        <v>485</v>
      </c>
      <c r="P4" t="s">
        <v>719</v>
      </c>
    </row>
    <row r="5" spans="1:16">
      <c r="A5" t="str">
        <f t="shared" si="0"/>
        <v>&lt;tr&gt;&lt;td&gt;2020-Sep-12&lt;/td&gt;&lt;td&gt;Matchday 1&lt;/td&gt;&lt;td&gt;0,625&lt;/td&gt;&lt;td&gt;Crystal Palace FC&lt;/td&gt;&lt;td&gt;1-0&lt;/td&gt;&lt;td&gt;1-0&lt;/td&gt;&lt;td&gt;Southampton FC&lt;/td&gt;&lt;/tr&gt;</v>
      </c>
      <c r="B5" t="s">
        <v>718</v>
      </c>
      <c r="C5" t="s">
        <v>687</v>
      </c>
      <c r="D5" t="s">
        <v>651</v>
      </c>
      <c r="E5" t="s">
        <v>1</v>
      </c>
      <c r="F5" t="s">
        <v>651</v>
      </c>
      <c r="G5" s="3">
        <v>0.625</v>
      </c>
      <c r="H5" t="s">
        <v>651</v>
      </c>
      <c r="I5" t="s">
        <v>486</v>
      </c>
      <c r="J5" t="s">
        <v>651</v>
      </c>
      <c r="K5" t="s">
        <v>487</v>
      </c>
      <c r="L5" t="s">
        <v>651</v>
      </c>
      <c r="M5" t="s">
        <v>487</v>
      </c>
      <c r="N5" t="s">
        <v>651</v>
      </c>
      <c r="O5" t="s">
        <v>488</v>
      </c>
      <c r="P5" t="s">
        <v>719</v>
      </c>
    </row>
    <row r="6" spans="1:16">
      <c r="A6" t="str">
        <f t="shared" si="0"/>
        <v>&lt;tr&gt;&lt;td&gt;2020-Sep-12&lt;/td&gt;&lt;td&gt;Matchday 1&lt;/td&gt;&lt;td&gt;0,729166666666667&lt;/td&gt;&lt;td&gt;Liverpool FC&lt;/td&gt;&lt;td&gt;4-3&lt;/td&gt;&lt;td&gt;3-2&lt;/td&gt;&lt;td&gt;Leeds United FC&lt;/td&gt;&lt;/tr&gt;</v>
      </c>
      <c r="B6" t="s">
        <v>718</v>
      </c>
      <c r="C6" t="s">
        <v>687</v>
      </c>
      <c r="D6" t="s">
        <v>651</v>
      </c>
      <c r="E6" t="s">
        <v>1</v>
      </c>
      <c r="F6" t="s">
        <v>651</v>
      </c>
      <c r="G6" s="3">
        <v>0.72916666666666663</v>
      </c>
      <c r="H6" t="s">
        <v>651</v>
      </c>
      <c r="I6" t="s">
        <v>489</v>
      </c>
      <c r="J6" t="s">
        <v>651</v>
      </c>
      <c r="K6" t="s">
        <v>490</v>
      </c>
      <c r="L6" t="s">
        <v>651</v>
      </c>
      <c r="M6" t="s">
        <v>491</v>
      </c>
      <c r="N6" t="s">
        <v>651</v>
      </c>
      <c r="O6" t="s">
        <v>492</v>
      </c>
      <c r="P6" t="s">
        <v>719</v>
      </c>
    </row>
    <row r="7" spans="1:16">
      <c r="A7" t="str">
        <f t="shared" si="0"/>
        <v>&lt;tr&gt;&lt;td&gt;2020-Sep-12&lt;/td&gt;&lt;td&gt;Matchday 1&lt;/td&gt;&lt;td&gt;0,833333333333333&lt;/td&gt;&lt;td&gt;West Ham United FC&lt;/td&gt;&lt;td&gt;0-2&lt;/td&gt;&lt;td&gt;0-0&lt;/td&gt;&lt;td&gt;Newcastle United FC&lt;/td&gt;&lt;/tr&gt;</v>
      </c>
      <c r="B7" t="s">
        <v>718</v>
      </c>
      <c r="C7" t="s">
        <v>687</v>
      </c>
      <c r="D7" t="s">
        <v>651</v>
      </c>
      <c r="E7" t="s">
        <v>1</v>
      </c>
      <c r="F7" t="s">
        <v>651</v>
      </c>
      <c r="G7" s="3">
        <v>0.83333333333333337</v>
      </c>
      <c r="H7" t="s">
        <v>651</v>
      </c>
      <c r="I7" t="s">
        <v>493</v>
      </c>
      <c r="J7" t="s">
        <v>651</v>
      </c>
      <c r="K7" t="s">
        <v>494</v>
      </c>
      <c r="L7" t="s">
        <v>651</v>
      </c>
      <c r="M7" t="s">
        <v>495</v>
      </c>
      <c r="N7" t="s">
        <v>651</v>
      </c>
      <c r="O7" t="s">
        <v>496</v>
      </c>
      <c r="P7" t="s">
        <v>719</v>
      </c>
    </row>
    <row r="8" spans="1:16">
      <c r="A8" t="str">
        <f t="shared" si="0"/>
        <v>&lt;tr&gt;&lt;td&gt;2020-Sep-13&lt;/td&gt;&lt;td&gt;Matchday 1&lt;/td&gt;&lt;td&gt;0,583333333333333&lt;/td&gt;&lt;td&gt;West Bromwich Albion FC&lt;/td&gt;&lt;td&gt;0-3&lt;/td&gt;&lt;td&gt;0-0&lt;/td&gt;&lt;td&gt;Leicester City FC&lt;/td&gt;&lt;/tr&gt;</v>
      </c>
      <c r="B8" t="s">
        <v>718</v>
      </c>
      <c r="C8" t="s">
        <v>655</v>
      </c>
      <c r="D8" t="s">
        <v>651</v>
      </c>
      <c r="E8" t="s">
        <v>1</v>
      </c>
      <c r="F8" t="s">
        <v>651</v>
      </c>
      <c r="G8" s="3">
        <v>0.58333333333333337</v>
      </c>
      <c r="H8" t="s">
        <v>651</v>
      </c>
      <c r="I8" t="s">
        <v>497</v>
      </c>
      <c r="J8" t="s">
        <v>651</v>
      </c>
      <c r="K8" t="s">
        <v>483</v>
      </c>
      <c r="L8" t="s">
        <v>651</v>
      </c>
      <c r="M8" t="s">
        <v>495</v>
      </c>
      <c r="N8" t="s">
        <v>651</v>
      </c>
      <c r="O8" t="s">
        <v>498</v>
      </c>
      <c r="P8" t="s">
        <v>719</v>
      </c>
    </row>
    <row r="9" spans="1:16">
      <c r="A9" t="str">
        <f t="shared" si="0"/>
        <v>&lt;tr&gt;&lt;td&gt;2020-Sep-13&lt;/td&gt;&lt;td&gt;Matchday 1&lt;/td&gt;&lt;td&gt;0,6875&lt;/td&gt;&lt;td&gt;Tottenham Hotspur FC&lt;/td&gt;&lt;td&gt;0-1&lt;/td&gt;&lt;td&gt;0-0&lt;/td&gt;&lt;td&gt;Everton FC&lt;/td&gt;&lt;/tr&gt;</v>
      </c>
      <c r="B9" t="s">
        <v>718</v>
      </c>
      <c r="C9" t="s">
        <v>655</v>
      </c>
      <c r="D9" t="s">
        <v>651</v>
      </c>
      <c r="E9" t="s">
        <v>1</v>
      </c>
      <c r="F9" t="s">
        <v>651</v>
      </c>
      <c r="G9" s="3">
        <v>0.6875</v>
      </c>
      <c r="H9" t="s">
        <v>651</v>
      </c>
      <c r="I9" t="s">
        <v>499</v>
      </c>
      <c r="J9" t="s">
        <v>651</v>
      </c>
      <c r="K9" t="s">
        <v>484</v>
      </c>
      <c r="L9" t="s">
        <v>651</v>
      </c>
      <c r="M9" t="s">
        <v>495</v>
      </c>
      <c r="N9" t="s">
        <v>651</v>
      </c>
      <c r="O9" t="s">
        <v>500</v>
      </c>
      <c r="P9" t="s">
        <v>719</v>
      </c>
    </row>
    <row r="10" spans="1:16">
      <c r="A10" t="str">
        <f t="shared" si="0"/>
        <v>&lt;tr&gt;&lt;td&gt;2020-Sep-14&lt;/td&gt;&lt;td&gt;Matchday 1&lt;/td&gt;&lt;td&gt;0,75&lt;/td&gt;&lt;td&gt;Sheffield United FC&lt;/td&gt;&lt;td&gt;0-2&lt;/td&gt;&lt;td&gt;0-2&lt;/td&gt;&lt;td&gt;Wolverhampton Wanderers FC&lt;/td&gt;&lt;/tr&gt;</v>
      </c>
      <c r="B10" t="s">
        <v>718</v>
      </c>
      <c r="C10" t="s">
        <v>666</v>
      </c>
      <c r="D10" t="s">
        <v>651</v>
      </c>
      <c r="E10" t="s">
        <v>1</v>
      </c>
      <c r="F10" t="s">
        <v>651</v>
      </c>
      <c r="G10" s="3">
        <v>0.75</v>
      </c>
      <c r="H10" t="s">
        <v>651</v>
      </c>
      <c r="I10" t="s">
        <v>501</v>
      </c>
      <c r="J10" t="s">
        <v>651</v>
      </c>
      <c r="K10" t="s">
        <v>494</v>
      </c>
      <c r="L10" t="s">
        <v>651</v>
      </c>
      <c r="M10" t="s">
        <v>494</v>
      </c>
      <c r="N10" t="s">
        <v>651</v>
      </c>
      <c r="O10" t="s">
        <v>502</v>
      </c>
      <c r="P10" t="s">
        <v>719</v>
      </c>
    </row>
    <row r="11" spans="1:16">
      <c r="A11" t="str">
        <f t="shared" si="0"/>
        <v>&lt;tr&gt;&lt;td&gt;2020-Sep-14&lt;/td&gt;&lt;td&gt;Matchday 1&lt;/td&gt;&lt;td&gt;0,84375&lt;/td&gt;&lt;td&gt;Brighton and Hove Albion FC&lt;/td&gt;&lt;td&gt;1-3&lt;/td&gt;&lt;td&gt;0-1&lt;/td&gt;&lt;td&gt;Chelsea FC&lt;/td&gt;&lt;/tr&gt;</v>
      </c>
      <c r="B11" t="s">
        <v>718</v>
      </c>
      <c r="C11" t="s">
        <v>666</v>
      </c>
      <c r="D11" t="s">
        <v>651</v>
      </c>
      <c r="E11" t="s">
        <v>1</v>
      </c>
      <c r="F11" t="s">
        <v>651</v>
      </c>
      <c r="G11" s="3">
        <v>0.84375</v>
      </c>
      <c r="H11" t="s">
        <v>651</v>
      </c>
      <c r="I11" t="s">
        <v>652</v>
      </c>
      <c r="J11" t="s">
        <v>651</v>
      </c>
      <c r="K11" t="s">
        <v>503</v>
      </c>
      <c r="L11" t="s">
        <v>651</v>
      </c>
      <c r="M11" t="s">
        <v>484</v>
      </c>
      <c r="N11" t="s">
        <v>651</v>
      </c>
      <c r="O11" t="s">
        <v>504</v>
      </c>
      <c r="P11" t="s">
        <v>719</v>
      </c>
    </row>
    <row r="12" spans="1:16">
      <c r="A12" t="str">
        <f t="shared" si="0"/>
        <v>&lt;tr&gt;&lt;td&gt;2020-Sep-19&lt;/td&gt;&lt;td&gt;Matchday 2&lt;/td&gt;&lt;td&gt;0,520833333333333&lt;/td&gt;&lt;td&gt;Everton FC&lt;/td&gt;&lt;td&gt;5-2&lt;/td&gt;&lt;td&gt;2-1&lt;/td&gt;&lt;td&gt;West Bromwich Albion FC&lt;/td&gt;&lt;/tr&gt;</v>
      </c>
      <c r="B12" t="s">
        <v>718</v>
      </c>
      <c r="C12" t="s">
        <v>688</v>
      </c>
      <c r="D12" t="s">
        <v>651</v>
      </c>
      <c r="E12" t="s">
        <v>15</v>
      </c>
      <c r="F12" t="s">
        <v>651</v>
      </c>
      <c r="G12" s="3">
        <v>0.52083333333333337</v>
      </c>
      <c r="H12" t="s">
        <v>651</v>
      </c>
      <c r="I12" t="s">
        <v>500</v>
      </c>
      <c r="J12" t="s">
        <v>651</v>
      </c>
      <c r="K12" t="s">
        <v>505</v>
      </c>
      <c r="L12" t="s">
        <v>651</v>
      </c>
      <c r="M12" t="s">
        <v>506</v>
      </c>
      <c r="N12" t="s">
        <v>651</v>
      </c>
      <c r="O12" t="s">
        <v>497</v>
      </c>
      <c r="P12" t="s">
        <v>719</v>
      </c>
    </row>
    <row r="13" spans="1:16">
      <c r="A13" t="str">
        <f t="shared" si="0"/>
        <v>&lt;tr&gt;&lt;td&gt;2020-Sep-19&lt;/td&gt;&lt;td&gt;Matchday 2&lt;/td&gt;&lt;td&gt;0,625&lt;/td&gt;&lt;td&gt;Leeds United FC&lt;/td&gt;&lt;td&gt;4-3&lt;/td&gt;&lt;td&gt;2-1&lt;/td&gt;&lt;td&gt;Fulham FC&lt;/td&gt;&lt;/tr&gt;</v>
      </c>
      <c r="B13" t="s">
        <v>718</v>
      </c>
      <c r="C13" t="s">
        <v>688</v>
      </c>
      <c r="D13" t="s">
        <v>651</v>
      </c>
      <c r="E13" t="s">
        <v>15</v>
      </c>
      <c r="F13" t="s">
        <v>651</v>
      </c>
      <c r="G13" s="3">
        <v>0.625</v>
      </c>
      <c r="H13" t="s">
        <v>651</v>
      </c>
      <c r="I13" t="s">
        <v>492</v>
      </c>
      <c r="J13" t="s">
        <v>651</v>
      </c>
      <c r="K13" t="s">
        <v>490</v>
      </c>
      <c r="L13" t="s">
        <v>651</v>
      </c>
      <c r="M13" t="s">
        <v>506</v>
      </c>
      <c r="N13" t="s">
        <v>651</v>
      </c>
      <c r="O13" t="s">
        <v>482</v>
      </c>
      <c r="P13" t="s">
        <v>719</v>
      </c>
    </row>
    <row r="14" spans="1:16">
      <c r="A14" t="str">
        <f t="shared" si="0"/>
        <v>&lt;tr&gt;&lt;td&gt;2020-Sep-19&lt;/td&gt;&lt;td&gt;Matchday 2&lt;/td&gt;&lt;td&gt;0,729166666666667&lt;/td&gt;&lt;td&gt;Manchester United   &lt;/td&gt;&lt;td&gt;1-3&lt;/td&gt;&lt;td&gt;0-1&lt;/td&gt;&lt;td&gt;Crystal Palace FC&lt;/td&gt;&lt;/tr&gt;</v>
      </c>
      <c r="B14" t="s">
        <v>718</v>
      </c>
      <c r="C14" t="s">
        <v>688</v>
      </c>
      <c r="D14" t="s">
        <v>651</v>
      </c>
      <c r="E14" t="s">
        <v>15</v>
      </c>
      <c r="F14" t="s">
        <v>651</v>
      </c>
      <c r="G14" s="3">
        <v>0.72916666666666663</v>
      </c>
      <c r="H14" t="s">
        <v>651</v>
      </c>
      <c r="I14" t="s">
        <v>507</v>
      </c>
      <c r="J14" t="s">
        <v>651</v>
      </c>
      <c r="K14" t="s">
        <v>503</v>
      </c>
      <c r="L14" t="s">
        <v>651</v>
      </c>
      <c r="M14" t="s">
        <v>484</v>
      </c>
      <c r="N14" t="s">
        <v>651</v>
      </c>
      <c r="O14" t="s">
        <v>486</v>
      </c>
      <c r="P14" t="s">
        <v>719</v>
      </c>
    </row>
    <row r="15" spans="1:16">
      <c r="A15" t="str">
        <f t="shared" si="0"/>
        <v>&lt;tr&gt;&lt;td&gt;2020-Sep-19&lt;/td&gt;&lt;td&gt;Matchday 2&lt;/td&gt;&lt;td&gt;0,833333333333333&lt;/td&gt;&lt;td&gt;Arsenal FC&lt;/td&gt;&lt;td&gt;2-1&lt;/td&gt;&lt;td&gt;1-1&lt;/td&gt;&lt;td&gt;West Ham United FC&lt;/td&gt;&lt;/tr&gt;</v>
      </c>
      <c r="B15" t="s">
        <v>718</v>
      </c>
      <c r="C15" t="s">
        <v>688</v>
      </c>
      <c r="D15" t="s">
        <v>651</v>
      </c>
      <c r="E15" t="s">
        <v>15</v>
      </c>
      <c r="F15" t="s">
        <v>651</v>
      </c>
      <c r="G15" s="3">
        <v>0.83333333333333337</v>
      </c>
      <c r="H15" t="s">
        <v>651</v>
      </c>
      <c r="I15" t="s">
        <v>485</v>
      </c>
      <c r="J15" t="s">
        <v>651</v>
      </c>
      <c r="K15" t="s">
        <v>506</v>
      </c>
      <c r="L15" t="s">
        <v>651</v>
      </c>
      <c r="M15" t="s">
        <v>508</v>
      </c>
      <c r="N15" t="s">
        <v>651</v>
      </c>
      <c r="O15" t="s">
        <v>493</v>
      </c>
      <c r="P15" t="s">
        <v>719</v>
      </c>
    </row>
    <row r="16" spans="1:16">
      <c r="A16" t="str">
        <f t="shared" si="0"/>
        <v>&lt;tr&gt;&lt;td&gt;2020-Sep-20&lt;/td&gt;&lt;td&gt;Matchday 2&lt;/td&gt;&lt;td&gt;0,5&lt;/td&gt;&lt;td&gt;Southampton FC&lt;/td&gt;&lt;td&gt;2-5&lt;/td&gt;&lt;td&gt;1-1&lt;/td&gt;&lt;td&gt;Tottenham Hotspur FC&lt;/td&gt;&lt;/tr&gt;</v>
      </c>
      <c r="B16" t="s">
        <v>718</v>
      </c>
      <c r="C16" t="s">
        <v>656</v>
      </c>
      <c r="D16" t="s">
        <v>651</v>
      </c>
      <c r="E16" t="s">
        <v>15</v>
      </c>
      <c r="F16" t="s">
        <v>651</v>
      </c>
      <c r="G16" s="3">
        <v>0.5</v>
      </c>
      <c r="H16" t="s">
        <v>651</v>
      </c>
      <c r="I16" t="s">
        <v>488</v>
      </c>
      <c r="J16" t="s">
        <v>651</v>
      </c>
      <c r="K16" t="s">
        <v>509</v>
      </c>
      <c r="L16" t="s">
        <v>651</v>
      </c>
      <c r="M16" t="s">
        <v>508</v>
      </c>
      <c r="N16" t="s">
        <v>651</v>
      </c>
      <c r="O16" t="s">
        <v>499</v>
      </c>
      <c r="P16" t="s">
        <v>719</v>
      </c>
    </row>
    <row r="17" spans="1:16">
      <c r="A17" t="str">
        <f t="shared" si="0"/>
        <v>&lt;tr&gt;&lt;td&gt;2020-Sep-20&lt;/td&gt;&lt;td&gt;Matchday 2&lt;/td&gt;&lt;td&gt;0,583333333333333&lt;/td&gt;&lt;td&gt;Newcastle United FC&lt;/td&gt;&lt;td&gt;0-3&lt;/td&gt;&lt;td&gt;0-2&lt;/td&gt;&lt;td&gt;Brighton and Hove Albion FC&lt;/td&gt;&lt;/tr&gt;</v>
      </c>
      <c r="B17" t="s">
        <v>718</v>
      </c>
      <c r="C17" t="s">
        <v>656</v>
      </c>
      <c r="D17" t="s">
        <v>651</v>
      </c>
      <c r="E17" t="s">
        <v>15</v>
      </c>
      <c r="F17" t="s">
        <v>651</v>
      </c>
      <c r="G17" s="3">
        <v>0.58333333333333337</v>
      </c>
      <c r="H17" t="s">
        <v>651</v>
      </c>
      <c r="I17" t="s">
        <v>496</v>
      </c>
      <c r="J17" t="s">
        <v>651</v>
      </c>
      <c r="K17" t="s">
        <v>483</v>
      </c>
      <c r="L17" t="s">
        <v>651</v>
      </c>
      <c r="M17" t="s">
        <v>494</v>
      </c>
      <c r="N17" t="s">
        <v>651</v>
      </c>
      <c r="O17" t="s">
        <v>652</v>
      </c>
      <c r="P17" t="s">
        <v>719</v>
      </c>
    </row>
    <row r="18" spans="1:16">
      <c r="A18" t="str">
        <f t="shared" si="0"/>
        <v>&lt;tr&gt;&lt;td&gt;2020-Sep-20&lt;/td&gt;&lt;td&gt;Matchday 2&lt;/td&gt;&lt;td&gt;0,6875&lt;/td&gt;&lt;td&gt;Chelsea FC&lt;/td&gt;&lt;td&gt;0-2&lt;/td&gt;&lt;td&gt;0-0&lt;/td&gt;&lt;td&gt;Liverpool FC&lt;/td&gt;&lt;/tr&gt;</v>
      </c>
      <c r="B18" t="s">
        <v>718</v>
      </c>
      <c r="C18" t="s">
        <v>656</v>
      </c>
      <c r="D18" t="s">
        <v>651</v>
      </c>
      <c r="E18" t="s">
        <v>15</v>
      </c>
      <c r="F18" t="s">
        <v>651</v>
      </c>
      <c r="G18" s="3">
        <v>0.6875</v>
      </c>
      <c r="H18" t="s">
        <v>651</v>
      </c>
      <c r="I18" t="s">
        <v>504</v>
      </c>
      <c r="J18" t="s">
        <v>651</v>
      </c>
      <c r="K18" t="s">
        <v>494</v>
      </c>
      <c r="L18" t="s">
        <v>651</v>
      </c>
      <c r="M18" t="s">
        <v>495</v>
      </c>
      <c r="N18" t="s">
        <v>651</v>
      </c>
      <c r="O18" t="s">
        <v>489</v>
      </c>
      <c r="P18" t="s">
        <v>719</v>
      </c>
    </row>
    <row r="19" spans="1:16">
      <c r="A19" t="str">
        <f t="shared" si="0"/>
        <v>&lt;tr&gt;&lt;td&gt;2020-Sep-20&lt;/td&gt;&lt;td&gt;Matchday 2&lt;/td&gt;&lt;td&gt;0,791666666666667&lt;/td&gt;&lt;td&gt;Leicester City FC&lt;/td&gt;&lt;td&gt;4-2&lt;/td&gt;&lt;td&gt;1-1&lt;/td&gt;&lt;td&gt;Burnley FC&lt;/td&gt;&lt;/tr&gt;</v>
      </c>
      <c r="B19" t="s">
        <v>718</v>
      </c>
      <c r="C19" t="s">
        <v>656</v>
      </c>
      <c r="D19" t="s">
        <v>651</v>
      </c>
      <c r="E19" t="s">
        <v>15</v>
      </c>
      <c r="F19" t="s">
        <v>651</v>
      </c>
      <c r="G19" s="3">
        <v>0.79166666666666663</v>
      </c>
      <c r="H19" t="s">
        <v>651</v>
      </c>
      <c r="I19" t="s">
        <v>498</v>
      </c>
      <c r="J19" t="s">
        <v>651</v>
      </c>
      <c r="K19" t="s">
        <v>510</v>
      </c>
      <c r="L19" t="s">
        <v>651</v>
      </c>
      <c r="M19" t="s">
        <v>508</v>
      </c>
      <c r="N19" t="s">
        <v>651</v>
      </c>
      <c r="O19" t="s">
        <v>511</v>
      </c>
      <c r="P19" t="s">
        <v>719</v>
      </c>
    </row>
    <row r="20" spans="1:16">
      <c r="A20" t="str">
        <f t="shared" si="0"/>
        <v>&lt;tr&gt;&lt;td&gt;2020-Sep-21&lt;/td&gt;&lt;td&gt;Matchday 2&lt;/td&gt;&lt;td&gt;0,75&lt;/td&gt;&lt;td&gt;Aston Villa FC&lt;/td&gt;&lt;td&gt;1-0&lt;/td&gt;&lt;td&gt;0-0&lt;/td&gt;&lt;td&gt;Sheffield United FC&lt;/td&gt;&lt;/tr&gt;</v>
      </c>
      <c r="B20" t="s">
        <v>718</v>
      </c>
      <c r="C20" t="s">
        <v>667</v>
      </c>
      <c r="D20" t="s">
        <v>651</v>
      </c>
      <c r="E20" t="s">
        <v>15</v>
      </c>
      <c r="F20" t="s">
        <v>651</v>
      </c>
      <c r="G20" s="3">
        <v>0.75</v>
      </c>
      <c r="H20" t="s">
        <v>651</v>
      </c>
      <c r="I20" t="s">
        <v>481</v>
      </c>
      <c r="J20" t="s">
        <v>651</v>
      </c>
      <c r="K20" t="s">
        <v>487</v>
      </c>
      <c r="L20" t="s">
        <v>651</v>
      </c>
      <c r="M20" t="s">
        <v>495</v>
      </c>
      <c r="N20" t="s">
        <v>651</v>
      </c>
      <c r="O20" t="s">
        <v>501</v>
      </c>
      <c r="P20" t="s">
        <v>719</v>
      </c>
    </row>
    <row r="21" spans="1:16">
      <c r="A21" t="str">
        <f t="shared" si="0"/>
        <v>&lt;tr&gt;&lt;td&gt;2020-Sep-21&lt;/td&gt;&lt;td&gt;Matchday 2&lt;/td&gt;&lt;td&gt;0,84375&lt;/td&gt;&lt;td&gt;Wolverhampton Wanderers FC&lt;/td&gt;&lt;td&gt;1-3&lt;/td&gt;&lt;td&gt;0-2&lt;/td&gt;&lt;td&gt;Manchester City FC&lt;/td&gt;&lt;/tr&gt;</v>
      </c>
      <c r="B21" t="s">
        <v>718</v>
      </c>
      <c r="C21" t="s">
        <v>667</v>
      </c>
      <c r="D21" t="s">
        <v>651</v>
      </c>
      <c r="E21" t="s">
        <v>15</v>
      </c>
      <c r="F21" t="s">
        <v>651</v>
      </c>
      <c r="G21" s="3">
        <v>0.84375</v>
      </c>
      <c r="H21" t="s">
        <v>651</v>
      </c>
      <c r="I21" t="s">
        <v>502</v>
      </c>
      <c r="J21" t="s">
        <v>651</v>
      </c>
      <c r="K21" t="s">
        <v>503</v>
      </c>
      <c r="L21" t="s">
        <v>651</v>
      </c>
      <c r="M21" t="s">
        <v>494</v>
      </c>
      <c r="N21" t="s">
        <v>651</v>
      </c>
      <c r="O21" t="s">
        <v>512</v>
      </c>
      <c r="P21" t="s">
        <v>719</v>
      </c>
    </row>
    <row r="22" spans="1:16">
      <c r="A22" t="str">
        <f t="shared" si="0"/>
        <v>&lt;tr&gt;&lt;td&gt;2020-Sep-26&lt;/td&gt;&lt;td&gt;Matchday 3&lt;/td&gt;&lt;td&gt;0,520833333333333&lt;/td&gt;&lt;td&gt;Brighton and Hove Albion FC&lt;/td&gt;&lt;td&gt;2-3&lt;/td&gt;&lt;td&gt;1-1&lt;/td&gt;&lt;td&gt;Manchester United&lt;/td&gt;&lt;/tr&gt;</v>
      </c>
      <c r="B22" t="s">
        <v>718</v>
      </c>
      <c r="C22" t="s">
        <v>689</v>
      </c>
      <c r="D22" t="s">
        <v>651</v>
      </c>
      <c r="E22" t="s">
        <v>29</v>
      </c>
      <c r="F22" t="s">
        <v>651</v>
      </c>
      <c r="G22" s="3">
        <v>0.52083333333333337</v>
      </c>
      <c r="H22" t="s">
        <v>651</v>
      </c>
      <c r="I22" t="s">
        <v>652</v>
      </c>
      <c r="J22" t="s">
        <v>651</v>
      </c>
      <c r="K22" t="s">
        <v>513</v>
      </c>
      <c r="L22" t="s">
        <v>651</v>
      </c>
      <c r="M22" t="s">
        <v>508</v>
      </c>
      <c r="N22" t="s">
        <v>651</v>
      </c>
      <c r="O22" t="s">
        <v>479</v>
      </c>
      <c r="P22" t="s">
        <v>719</v>
      </c>
    </row>
    <row r="23" spans="1:16">
      <c r="A23" t="str">
        <f t="shared" si="0"/>
        <v>&lt;tr&gt;&lt;td&gt;2020-Sep-26&lt;/td&gt;&lt;td&gt;Matchday 3&lt;/td&gt;&lt;td&gt;0,625&lt;/td&gt;&lt;td&gt;Crystal Palace FC&lt;/td&gt;&lt;td&gt;1-2&lt;/td&gt;&lt;td&gt;1-2&lt;/td&gt;&lt;td&gt;Everton FC&lt;/td&gt;&lt;/tr&gt;</v>
      </c>
      <c r="B23" t="s">
        <v>718</v>
      </c>
      <c r="C23" t="s">
        <v>689</v>
      </c>
      <c r="D23" t="s">
        <v>651</v>
      </c>
      <c r="E23" t="s">
        <v>29</v>
      </c>
      <c r="F23" t="s">
        <v>651</v>
      </c>
      <c r="G23" s="3">
        <v>0.625</v>
      </c>
      <c r="H23" t="s">
        <v>651</v>
      </c>
      <c r="I23" t="s">
        <v>486</v>
      </c>
      <c r="J23" t="s">
        <v>651</v>
      </c>
      <c r="K23" t="s">
        <v>514</v>
      </c>
      <c r="L23" t="s">
        <v>651</v>
      </c>
      <c r="M23" t="s">
        <v>514</v>
      </c>
      <c r="N23" t="s">
        <v>651</v>
      </c>
      <c r="O23" t="s">
        <v>500</v>
      </c>
      <c r="P23" t="s">
        <v>719</v>
      </c>
    </row>
    <row r="24" spans="1:16">
      <c r="A24" t="str">
        <f t="shared" si="0"/>
        <v>&lt;tr&gt;&lt;td&gt;2020-Sep-26&lt;/td&gt;&lt;td&gt;Matchday 3&lt;/td&gt;&lt;td&gt;0,729166666666667&lt;/td&gt;&lt;td&gt;West Bromwich Albion FC&lt;/td&gt;&lt;td&gt;3-3&lt;/td&gt;&lt;td&gt;3-0&lt;/td&gt;&lt;td&gt;Chelsea FC&lt;/td&gt;&lt;/tr&gt;</v>
      </c>
      <c r="B24" t="s">
        <v>718</v>
      </c>
      <c r="C24" t="s">
        <v>689</v>
      </c>
      <c r="D24" t="s">
        <v>651</v>
      </c>
      <c r="E24" t="s">
        <v>29</v>
      </c>
      <c r="F24" t="s">
        <v>651</v>
      </c>
      <c r="G24" s="3">
        <v>0.72916666666666663</v>
      </c>
      <c r="H24" t="s">
        <v>651</v>
      </c>
      <c r="I24" t="s">
        <v>497</v>
      </c>
      <c r="J24" t="s">
        <v>651</v>
      </c>
      <c r="K24" t="s">
        <v>515</v>
      </c>
      <c r="L24" t="s">
        <v>651</v>
      </c>
      <c r="M24" t="s">
        <v>516</v>
      </c>
      <c r="N24" t="s">
        <v>651</v>
      </c>
      <c r="O24" t="s">
        <v>504</v>
      </c>
      <c r="P24" t="s">
        <v>719</v>
      </c>
    </row>
    <row r="25" spans="1:16">
      <c r="A25" t="str">
        <f t="shared" si="0"/>
        <v>&lt;tr&gt;&lt;td&gt;2020-Sep-26&lt;/td&gt;&lt;td&gt;Matchday 3&lt;/td&gt;&lt;td&gt;0,833333333333333&lt;/td&gt;&lt;td&gt;Burnley FC&lt;/td&gt;&lt;td&gt;0-1&lt;/td&gt;&lt;td&gt;0-1&lt;/td&gt;&lt;td&gt;Southampton FC&lt;/td&gt;&lt;/tr&gt;</v>
      </c>
      <c r="B25" t="s">
        <v>718</v>
      </c>
      <c r="C25" t="s">
        <v>689</v>
      </c>
      <c r="D25" t="s">
        <v>651</v>
      </c>
      <c r="E25" t="s">
        <v>29</v>
      </c>
      <c r="F25" t="s">
        <v>651</v>
      </c>
      <c r="G25" s="3">
        <v>0.83333333333333337</v>
      </c>
      <c r="H25" t="s">
        <v>651</v>
      </c>
      <c r="I25" t="s">
        <v>511</v>
      </c>
      <c r="J25" t="s">
        <v>651</v>
      </c>
      <c r="K25" t="s">
        <v>484</v>
      </c>
      <c r="L25" t="s">
        <v>651</v>
      </c>
      <c r="M25" t="s">
        <v>484</v>
      </c>
      <c r="N25" t="s">
        <v>651</v>
      </c>
      <c r="O25" t="s">
        <v>488</v>
      </c>
      <c r="P25" t="s">
        <v>719</v>
      </c>
    </row>
    <row r="26" spans="1:16">
      <c r="A26" t="str">
        <f t="shared" si="0"/>
        <v>&lt;tr&gt;&lt;td&gt;2020-Sep-27&lt;/td&gt;&lt;td&gt;Matchday 3&lt;/td&gt;&lt;td&gt;0,5&lt;/td&gt;&lt;td&gt;Sheffield United FC&lt;/td&gt;&lt;td&gt;0-1&lt;/td&gt;&lt;td&gt;0-0&lt;/td&gt;&lt;td&gt;Leeds United FC&lt;/td&gt;&lt;/tr&gt;</v>
      </c>
      <c r="B26" t="s">
        <v>718</v>
      </c>
      <c r="C26" t="s">
        <v>657</v>
      </c>
      <c r="D26" t="s">
        <v>651</v>
      </c>
      <c r="E26" t="s">
        <v>29</v>
      </c>
      <c r="F26" t="s">
        <v>651</v>
      </c>
      <c r="G26" s="3">
        <v>0.5</v>
      </c>
      <c r="H26" t="s">
        <v>651</v>
      </c>
      <c r="I26" t="s">
        <v>501</v>
      </c>
      <c r="J26" t="s">
        <v>651</v>
      </c>
      <c r="K26" t="s">
        <v>484</v>
      </c>
      <c r="L26" t="s">
        <v>651</v>
      </c>
      <c r="M26" t="s">
        <v>495</v>
      </c>
      <c r="N26" t="s">
        <v>651</v>
      </c>
      <c r="O26" t="s">
        <v>492</v>
      </c>
      <c r="P26" t="s">
        <v>719</v>
      </c>
    </row>
    <row r="27" spans="1:16">
      <c r="A27" t="str">
        <f t="shared" si="0"/>
        <v>&lt;tr&gt;&lt;td&gt;2020-Sep-27&lt;/td&gt;&lt;td&gt;Matchday 3&lt;/td&gt;&lt;td&gt;0,583333333333333&lt;/td&gt;&lt;td&gt;Tottenham Hotspur FC&lt;/td&gt;&lt;td&gt;1-1&lt;/td&gt;&lt;td&gt;1-0&lt;/td&gt;&lt;td&gt;Newcastle United FC&lt;/td&gt;&lt;/tr&gt;</v>
      </c>
      <c r="B27" t="s">
        <v>718</v>
      </c>
      <c r="C27" t="s">
        <v>657</v>
      </c>
      <c r="D27" t="s">
        <v>651</v>
      </c>
      <c r="E27" t="s">
        <v>29</v>
      </c>
      <c r="F27" t="s">
        <v>651</v>
      </c>
      <c r="G27" s="3">
        <v>0.58333333333333337</v>
      </c>
      <c r="H27" t="s">
        <v>651</v>
      </c>
      <c r="I27" t="s">
        <v>499</v>
      </c>
      <c r="J27" t="s">
        <v>651</v>
      </c>
      <c r="K27" t="s">
        <v>508</v>
      </c>
      <c r="L27" t="s">
        <v>651</v>
      </c>
      <c r="M27" t="s">
        <v>487</v>
      </c>
      <c r="N27" t="s">
        <v>651</v>
      </c>
      <c r="O27" t="s">
        <v>496</v>
      </c>
      <c r="P27" t="s">
        <v>719</v>
      </c>
    </row>
    <row r="28" spans="1:16">
      <c r="A28" t="str">
        <f t="shared" si="0"/>
        <v>&lt;tr&gt;&lt;td&gt;2020-Sep-27&lt;/td&gt;&lt;td&gt;Matchday 3&lt;/td&gt;&lt;td&gt;0,6875&lt;/td&gt;&lt;td&gt;Manchester City FC&lt;/td&gt;&lt;td&gt;2-5&lt;/td&gt;&lt;td&gt;1-1&lt;/td&gt;&lt;td&gt;Leicester City FC&lt;/td&gt;&lt;/tr&gt;</v>
      </c>
      <c r="B28" t="s">
        <v>718</v>
      </c>
      <c r="C28" t="s">
        <v>657</v>
      </c>
      <c r="D28" t="s">
        <v>651</v>
      </c>
      <c r="E28" t="s">
        <v>29</v>
      </c>
      <c r="F28" t="s">
        <v>651</v>
      </c>
      <c r="G28" s="3">
        <v>0.6875</v>
      </c>
      <c r="H28" t="s">
        <v>651</v>
      </c>
      <c r="I28" t="s">
        <v>512</v>
      </c>
      <c r="J28" t="s">
        <v>651</v>
      </c>
      <c r="K28" t="s">
        <v>509</v>
      </c>
      <c r="L28" t="s">
        <v>651</v>
      </c>
      <c r="M28" t="s">
        <v>508</v>
      </c>
      <c r="N28" t="s">
        <v>651</v>
      </c>
      <c r="O28" t="s">
        <v>498</v>
      </c>
      <c r="P28" t="s">
        <v>719</v>
      </c>
    </row>
    <row r="29" spans="1:16">
      <c r="A29" t="str">
        <f t="shared" si="0"/>
        <v>&lt;tr&gt;&lt;td&gt;2020-Sep-27&lt;/td&gt;&lt;td&gt;Matchday 3&lt;/td&gt;&lt;td&gt;0,791666666666667&lt;/td&gt;&lt;td&gt;West Ham United FC&lt;/td&gt;&lt;td&gt;4-0&lt;/td&gt;&lt;td&gt;1-0&lt;/td&gt;&lt;td&gt;Wolverhampton Wanderers FC&lt;/td&gt;&lt;/tr&gt;</v>
      </c>
      <c r="B29" t="s">
        <v>718</v>
      </c>
      <c r="C29" t="s">
        <v>657</v>
      </c>
      <c r="D29" t="s">
        <v>651</v>
      </c>
      <c r="E29" t="s">
        <v>29</v>
      </c>
      <c r="F29" t="s">
        <v>651</v>
      </c>
      <c r="G29" s="3">
        <v>0.79166666666666663</v>
      </c>
      <c r="H29" t="s">
        <v>651</v>
      </c>
      <c r="I29" t="s">
        <v>493</v>
      </c>
      <c r="J29" t="s">
        <v>651</v>
      </c>
      <c r="K29" t="s">
        <v>517</v>
      </c>
      <c r="L29" t="s">
        <v>651</v>
      </c>
      <c r="M29" t="s">
        <v>487</v>
      </c>
      <c r="N29" t="s">
        <v>651</v>
      </c>
      <c r="O29" t="s">
        <v>502</v>
      </c>
      <c r="P29" t="s">
        <v>719</v>
      </c>
    </row>
    <row r="30" spans="1:16">
      <c r="A30" t="str">
        <f t="shared" si="0"/>
        <v>&lt;tr&gt;&lt;td&gt;2020-Sep-28&lt;/td&gt;&lt;td&gt;Matchday 3&lt;/td&gt;&lt;td&gt;0,739583333333333&lt;/td&gt;&lt;td&gt;Fulham FC&lt;/td&gt;&lt;td&gt;0-3&lt;/td&gt;&lt;td&gt;0-2&lt;/td&gt;&lt;td&gt;Aston Villa FC&lt;/td&gt;&lt;/tr&gt;</v>
      </c>
      <c r="B30" t="s">
        <v>718</v>
      </c>
      <c r="C30" t="s">
        <v>668</v>
      </c>
      <c r="D30" t="s">
        <v>651</v>
      </c>
      <c r="E30" t="s">
        <v>29</v>
      </c>
      <c r="F30" t="s">
        <v>651</v>
      </c>
      <c r="G30" s="3">
        <v>0.73958333333333337</v>
      </c>
      <c r="H30" t="s">
        <v>651</v>
      </c>
      <c r="I30" t="s">
        <v>482</v>
      </c>
      <c r="J30" t="s">
        <v>651</v>
      </c>
      <c r="K30" t="s">
        <v>483</v>
      </c>
      <c r="L30" t="s">
        <v>651</v>
      </c>
      <c r="M30" t="s">
        <v>494</v>
      </c>
      <c r="N30" t="s">
        <v>651</v>
      </c>
      <c r="O30" t="s">
        <v>481</v>
      </c>
      <c r="P30" t="s">
        <v>719</v>
      </c>
    </row>
    <row r="31" spans="1:16">
      <c r="A31" t="str">
        <f t="shared" si="0"/>
        <v>&lt;tr&gt;&lt;td&gt;2020-Sep-28&lt;/td&gt;&lt;td&gt;Matchday 3&lt;/td&gt;&lt;td&gt;0,833333333333333&lt;/td&gt;&lt;td&gt;Liverpool FC&lt;/td&gt;&lt;td&gt;3-1&lt;/td&gt;&lt;td&gt;2-1&lt;/td&gt;&lt;td&gt;Arsenal FC&lt;/td&gt;&lt;/tr&gt;</v>
      </c>
      <c r="B31" t="s">
        <v>718</v>
      </c>
      <c r="C31" t="s">
        <v>668</v>
      </c>
      <c r="D31" t="s">
        <v>651</v>
      </c>
      <c r="E31" t="s">
        <v>29</v>
      </c>
      <c r="F31" t="s">
        <v>651</v>
      </c>
      <c r="G31" s="3">
        <v>0.83333333333333337</v>
      </c>
      <c r="H31" t="s">
        <v>651</v>
      </c>
      <c r="I31" t="s">
        <v>489</v>
      </c>
      <c r="J31" t="s">
        <v>651</v>
      </c>
      <c r="K31" t="s">
        <v>518</v>
      </c>
      <c r="L31" t="s">
        <v>651</v>
      </c>
      <c r="M31" t="s">
        <v>506</v>
      </c>
      <c r="N31" t="s">
        <v>651</v>
      </c>
      <c r="O31" t="s">
        <v>485</v>
      </c>
      <c r="P31" t="s">
        <v>719</v>
      </c>
    </row>
    <row r="32" spans="1:16">
      <c r="A32" t="str">
        <f t="shared" si="0"/>
        <v>&lt;tr&gt;&lt;td&gt;2020-Oct-3&lt;/td&gt;&lt;td&gt;Matchday 4&lt;/td&gt;&lt;td&gt;0,520833333333333&lt;/td&gt;&lt;td&gt;Chelsea FC&lt;/td&gt;&lt;td&gt;4-0&lt;/td&gt;&lt;td&gt;0-0&lt;/td&gt;&lt;td&gt;Crystal Palace FC&lt;/td&gt;&lt;/tr&gt;</v>
      </c>
      <c r="B32" t="s">
        <v>718</v>
      </c>
      <c r="C32" t="s">
        <v>690</v>
      </c>
      <c r="D32" t="s">
        <v>651</v>
      </c>
      <c r="E32" t="s">
        <v>43</v>
      </c>
      <c r="F32" t="s">
        <v>651</v>
      </c>
      <c r="G32" s="3">
        <v>0.52083333333333337</v>
      </c>
      <c r="H32" t="s">
        <v>651</v>
      </c>
      <c r="I32" t="s">
        <v>504</v>
      </c>
      <c r="J32" t="s">
        <v>651</v>
      </c>
      <c r="K32" t="s">
        <v>517</v>
      </c>
      <c r="L32" t="s">
        <v>651</v>
      </c>
      <c r="M32" t="s">
        <v>495</v>
      </c>
      <c r="N32" t="s">
        <v>651</v>
      </c>
      <c r="O32" t="s">
        <v>486</v>
      </c>
      <c r="P32" t="s">
        <v>719</v>
      </c>
    </row>
    <row r="33" spans="1:16">
      <c r="A33" t="str">
        <f t="shared" si="0"/>
        <v>&lt;tr&gt;&lt;td&gt;2020-Oct-3&lt;/td&gt;&lt;td&gt;Matchday 4&lt;/td&gt;&lt;td&gt;0,625&lt;/td&gt;&lt;td&gt;Everton FC&lt;/td&gt;&lt;td&gt;4-2&lt;/td&gt;&lt;td&gt;2-1&lt;/td&gt;&lt;td&gt;Brighton and Hove Albion FC&lt;/td&gt;&lt;/tr&gt;</v>
      </c>
      <c r="B33" t="s">
        <v>718</v>
      </c>
      <c r="C33" t="s">
        <v>690</v>
      </c>
      <c r="D33" t="s">
        <v>651</v>
      </c>
      <c r="E33" t="s">
        <v>43</v>
      </c>
      <c r="F33" t="s">
        <v>651</v>
      </c>
      <c r="G33" s="3">
        <v>0.625</v>
      </c>
      <c r="H33" t="s">
        <v>651</v>
      </c>
      <c r="I33" t="s">
        <v>500</v>
      </c>
      <c r="J33" t="s">
        <v>651</v>
      </c>
      <c r="K33" t="s">
        <v>510</v>
      </c>
      <c r="L33" t="s">
        <v>651</v>
      </c>
      <c r="M33" t="s">
        <v>506</v>
      </c>
      <c r="N33" t="s">
        <v>651</v>
      </c>
      <c r="O33" t="s">
        <v>652</v>
      </c>
      <c r="P33" t="s">
        <v>719</v>
      </c>
    </row>
    <row r="34" spans="1:16">
      <c r="A34" t="str">
        <f t="shared" si="0"/>
        <v>&lt;tr&gt;&lt;td&gt;2020-Oct-3&lt;/td&gt;&lt;td&gt;Matchday 4&lt;/td&gt;&lt;td&gt;0,729166666666667&lt;/td&gt;&lt;td&gt;Leeds United FC&lt;/td&gt;&lt;td&gt;1-1&lt;/td&gt;&lt;td&gt;0-1&lt;/td&gt;&lt;td&gt;Manchester City FC&lt;/td&gt;&lt;/tr&gt;</v>
      </c>
      <c r="B34" t="s">
        <v>718</v>
      </c>
      <c r="C34" t="s">
        <v>690</v>
      </c>
      <c r="D34" t="s">
        <v>651</v>
      </c>
      <c r="E34" t="s">
        <v>43</v>
      </c>
      <c r="F34" t="s">
        <v>651</v>
      </c>
      <c r="G34" s="3">
        <v>0.72916666666666663</v>
      </c>
      <c r="H34" t="s">
        <v>651</v>
      </c>
      <c r="I34" t="s">
        <v>492</v>
      </c>
      <c r="J34" t="s">
        <v>651</v>
      </c>
      <c r="K34" t="s">
        <v>508</v>
      </c>
      <c r="L34" t="s">
        <v>651</v>
      </c>
      <c r="M34" t="s">
        <v>484</v>
      </c>
      <c r="N34" t="s">
        <v>651</v>
      </c>
      <c r="O34" t="s">
        <v>512</v>
      </c>
      <c r="P34" t="s">
        <v>719</v>
      </c>
    </row>
    <row r="35" spans="1:16">
      <c r="A35" t="str">
        <f t="shared" si="0"/>
        <v>&lt;tr&gt;&lt;td&gt;2020-Oct-3&lt;/td&gt;&lt;td&gt;Matchday 4&lt;/td&gt;&lt;td&gt;0,833333333333333&lt;/td&gt;&lt;td&gt;Newcastle United FC&lt;/td&gt;&lt;td&gt;3-1&lt;/td&gt;&lt;td&gt;1-0&lt;/td&gt;&lt;td&gt;Burnley FC&lt;/td&gt;&lt;/tr&gt;</v>
      </c>
      <c r="B35" t="s">
        <v>718</v>
      </c>
      <c r="C35" t="s">
        <v>690</v>
      </c>
      <c r="D35" t="s">
        <v>651</v>
      </c>
      <c r="E35" t="s">
        <v>43</v>
      </c>
      <c r="F35" t="s">
        <v>651</v>
      </c>
      <c r="G35" s="3">
        <v>0.83333333333333337</v>
      </c>
      <c r="H35" t="s">
        <v>651</v>
      </c>
      <c r="I35" t="s">
        <v>496</v>
      </c>
      <c r="J35" t="s">
        <v>651</v>
      </c>
      <c r="K35" t="s">
        <v>518</v>
      </c>
      <c r="L35" t="s">
        <v>651</v>
      </c>
      <c r="M35" t="s">
        <v>487</v>
      </c>
      <c r="N35" t="s">
        <v>651</v>
      </c>
      <c r="O35" t="s">
        <v>511</v>
      </c>
      <c r="P35" t="s">
        <v>719</v>
      </c>
    </row>
    <row r="36" spans="1:16">
      <c r="A36" t="str">
        <f t="shared" si="0"/>
        <v>&lt;tr&gt;&lt;td&gt;2020-Oct-4&lt;/td&gt;&lt;td&gt;Matchday 4&lt;/td&gt;&lt;td&gt;0,5&lt;/td&gt;&lt;td&gt;Leicester City FC&lt;/td&gt;&lt;td&gt;0-3&lt;/td&gt;&lt;td&gt;0-2&lt;/td&gt;&lt;td&gt;West Ham United FC&lt;/td&gt;&lt;/tr&gt;</v>
      </c>
      <c r="B36" t="s">
        <v>718</v>
      </c>
      <c r="C36" t="s">
        <v>658</v>
      </c>
      <c r="D36" t="s">
        <v>651</v>
      </c>
      <c r="E36" t="s">
        <v>43</v>
      </c>
      <c r="F36" t="s">
        <v>651</v>
      </c>
      <c r="G36" s="3">
        <v>0.5</v>
      </c>
      <c r="H36" t="s">
        <v>651</v>
      </c>
      <c r="I36" t="s">
        <v>498</v>
      </c>
      <c r="J36" t="s">
        <v>651</v>
      </c>
      <c r="K36" t="s">
        <v>483</v>
      </c>
      <c r="L36" t="s">
        <v>651</v>
      </c>
      <c r="M36" t="s">
        <v>494</v>
      </c>
      <c r="N36" t="s">
        <v>651</v>
      </c>
      <c r="O36" t="s">
        <v>493</v>
      </c>
      <c r="P36" t="s">
        <v>719</v>
      </c>
    </row>
    <row r="37" spans="1:16">
      <c r="A37" t="str">
        <f t="shared" si="0"/>
        <v>&lt;tr&gt;&lt;td&gt;2020-Oct-4&lt;/td&gt;&lt;td&gt;Matchday 4&lt;/td&gt;&lt;td&gt;&lt;/td&gt;&lt;td&gt;       Southampton FC &lt;/td&gt;&lt;td&gt;2-0&lt;/td&gt;&lt;td&gt;1-0&lt;/td&gt;&lt;td&gt;(1-0)  West Bromwich Albion FC&lt;/td&gt;&lt;/tr&gt;</v>
      </c>
      <c r="B37" t="s">
        <v>718</v>
      </c>
      <c r="C37" t="s">
        <v>658</v>
      </c>
      <c r="D37" t="s">
        <v>651</v>
      </c>
      <c r="E37" t="s">
        <v>43</v>
      </c>
      <c r="F37" t="s">
        <v>651</v>
      </c>
      <c r="G37" s="3" t="s">
        <v>476</v>
      </c>
      <c r="H37" t="s">
        <v>651</v>
      </c>
      <c r="I37" t="s">
        <v>519</v>
      </c>
      <c r="J37" t="s">
        <v>651</v>
      </c>
      <c r="K37" t="s">
        <v>520</v>
      </c>
      <c r="L37" t="s">
        <v>651</v>
      </c>
      <c r="M37" t="s">
        <v>487</v>
      </c>
      <c r="N37" t="s">
        <v>651</v>
      </c>
      <c r="O37" t="s">
        <v>521</v>
      </c>
      <c r="P37" t="s">
        <v>719</v>
      </c>
    </row>
    <row r="38" spans="1:16">
      <c r="A38" t="str">
        <f t="shared" si="0"/>
        <v>&lt;tr&gt;&lt;td&gt;2020-Oct-4&lt;/td&gt;&lt;td&gt;Matchday 4&lt;/td&gt;&lt;td&gt;0,583333333333333&lt;/td&gt;&lt;td&gt;Arsenal FC&lt;/td&gt;&lt;td&gt;2-1&lt;/td&gt;&lt;td&gt;0-0&lt;/td&gt;&lt;td&gt;Sheffield United FC&lt;/td&gt;&lt;/tr&gt;</v>
      </c>
      <c r="B38" t="s">
        <v>718</v>
      </c>
      <c r="C38" t="s">
        <v>658</v>
      </c>
      <c r="D38" t="s">
        <v>651</v>
      </c>
      <c r="E38" t="s">
        <v>43</v>
      </c>
      <c r="F38" t="s">
        <v>651</v>
      </c>
      <c r="G38" s="3">
        <v>0.58333333333333337</v>
      </c>
      <c r="H38" t="s">
        <v>651</v>
      </c>
      <c r="I38" t="s">
        <v>485</v>
      </c>
      <c r="J38" t="s">
        <v>651</v>
      </c>
      <c r="K38" t="s">
        <v>506</v>
      </c>
      <c r="L38" t="s">
        <v>651</v>
      </c>
      <c r="M38" t="s">
        <v>495</v>
      </c>
      <c r="N38" t="s">
        <v>651</v>
      </c>
      <c r="O38" t="s">
        <v>501</v>
      </c>
      <c r="P38" t="s">
        <v>719</v>
      </c>
    </row>
    <row r="39" spans="1:16">
      <c r="A39" t="str">
        <f t="shared" si="0"/>
        <v>&lt;tr&gt;&lt;td&gt;2020-Oct-4&lt;/td&gt;&lt;td&gt;Matchday 4&lt;/td&gt;&lt;td&gt;&lt;/td&gt;&lt;td&gt;       Wolverhampton Wanderers FC &lt;/td&gt;&lt;td&gt;1-0&lt;/td&gt;&lt;td&gt;0-0&lt;/td&gt;&lt;td&gt;(0-0)  Fulham FC&lt;/td&gt;&lt;/tr&gt;</v>
      </c>
      <c r="B39" t="s">
        <v>718</v>
      </c>
      <c r="C39" t="s">
        <v>658</v>
      </c>
      <c r="D39" t="s">
        <v>651</v>
      </c>
      <c r="E39" t="s">
        <v>43</v>
      </c>
      <c r="F39" t="s">
        <v>651</v>
      </c>
      <c r="G39" s="3" t="s">
        <v>476</v>
      </c>
      <c r="H39" t="s">
        <v>651</v>
      </c>
      <c r="I39" t="s">
        <v>522</v>
      </c>
      <c r="J39" t="s">
        <v>651</v>
      </c>
      <c r="K39" t="s">
        <v>487</v>
      </c>
      <c r="L39" t="s">
        <v>651</v>
      </c>
      <c r="M39" t="s">
        <v>495</v>
      </c>
      <c r="N39" t="s">
        <v>651</v>
      </c>
      <c r="O39" t="s">
        <v>523</v>
      </c>
      <c r="P39" t="s">
        <v>719</v>
      </c>
    </row>
    <row r="40" spans="1:16">
      <c r="A40" t="str">
        <f t="shared" si="0"/>
        <v>&lt;tr&gt;&lt;td&gt;2020-Oct-4&lt;/td&gt;&lt;td&gt;Matchday 4&lt;/td&gt;&lt;td&gt;0,6875&lt;/td&gt;&lt;td&gt;Manchester United   &lt;/td&gt;&lt;td&gt;1-6&lt;/td&gt;&lt;td&gt;1-4&lt;/td&gt;&lt;td&gt;Tottenham Hotspur FC&lt;/td&gt;&lt;/tr&gt;</v>
      </c>
      <c r="B40" t="s">
        <v>718</v>
      </c>
      <c r="C40" t="s">
        <v>658</v>
      </c>
      <c r="D40" t="s">
        <v>651</v>
      </c>
      <c r="E40" t="s">
        <v>43</v>
      </c>
      <c r="F40" t="s">
        <v>651</v>
      </c>
      <c r="G40" s="3">
        <v>0.6875</v>
      </c>
      <c r="H40" t="s">
        <v>651</v>
      </c>
      <c r="I40" t="s">
        <v>507</v>
      </c>
      <c r="J40" t="s">
        <v>651</v>
      </c>
      <c r="K40" t="s">
        <v>524</v>
      </c>
      <c r="L40" t="s">
        <v>651</v>
      </c>
      <c r="M40" t="s">
        <v>525</v>
      </c>
      <c r="N40" t="s">
        <v>651</v>
      </c>
      <c r="O40" t="s">
        <v>499</v>
      </c>
      <c r="P40" t="s">
        <v>719</v>
      </c>
    </row>
    <row r="41" spans="1:16">
      <c r="A41" t="str">
        <f t="shared" si="0"/>
        <v>&lt;tr&gt;&lt;td&gt;2020-Oct-4&lt;/td&gt;&lt;td&gt;Matchday 4&lt;/td&gt;&lt;td&gt;0,802083333333333&lt;/td&gt;&lt;td&gt;Aston Villa FC&lt;/td&gt;&lt;td&gt;7-2&lt;/td&gt;&lt;td&gt;4-1&lt;/td&gt;&lt;td&gt;Liverpool FC&lt;/td&gt;&lt;/tr&gt;</v>
      </c>
      <c r="B41" t="s">
        <v>718</v>
      </c>
      <c r="C41" t="s">
        <v>658</v>
      </c>
      <c r="D41" t="s">
        <v>651</v>
      </c>
      <c r="E41" t="s">
        <v>43</v>
      </c>
      <c r="F41" t="s">
        <v>651</v>
      </c>
      <c r="G41" s="3">
        <v>0.80208333333333337</v>
      </c>
      <c r="H41" t="s">
        <v>651</v>
      </c>
      <c r="I41" t="s">
        <v>481</v>
      </c>
      <c r="J41" t="s">
        <v>651</v>
      </c>
      <c r="K41" t="s">
        <v>526</v>
      </c>
      <c r="L41" t="s">
        <v>651</v>
      </c>
      <c r="M41" t="s">
        <v>527</v>
      </c>
      <c r="N41" t="s">
        <v>651</v>
      </c>
      <c r="O41" t="s">
        <v>489</v>
      </c>
      <c r="P41" t="s">
        <v>719</v>
      </c>
    </row>
    <row r="42" spans="1:16">
      <c r="A42" t="str">
        <f t="shared" si="0"/>
        <v>&lt;tr&gt;&lt;td&gt;2020-Oct-17&lt;/td&gt;&lt;td&gt;Matchday 5&lt;/td&gt;&lt;td&gt;0,520833333333333&lt;/td&gt;&lt;td&gt;Everton FC&lt;/td&gt;&lt;td&gt;2-2&lt;/td&gt;&lt;td&gt;1-1&lt;/td&gt;&lt;td&gt;Liverpool FC&lt;/td&gt;&lt;/tr&gt;</v>
      </c>
      <c r="B42" t="s">
        <v>718</v>
      </c>
      <c r="C42" t="s">
        <v>691</v>
      </c>
      <c r="D42" t="s">
        <v>651</v>
      </c>
      <c r="E42" t="s">
        <v>56</v>
      </c>
      <c r="F42" t="s">
        <v>651</v>
      </c>
      <c r="G42" s="3">
        <v>0.52083333333333337</v>
      </c>
      <c r="H42" t="s">
        <v>651</v>
      </c>
      <c r="I42" t="s">
        <v>500</v>
      </c>
      <c r="J42" t="s">
        <v>651</v>
      </c>
      <c r="K42" t="s">
        <v>639</v>
      </c>
      <c r="L42" t="s">
        <v>651</v>
      </c>
      <c r="M42" t="s">
        <v>508</v>
      </c>
      <c r="N42" t="s">
        <v>651</v>
      </c>
      <c r="O42" t="s">
        <v>489</v>
      </c>
      <c r="P42" t="s">
        <v>719</v>
      </c>
    </row>
    <row r="43" spans="1:16">
      <c r="A43" t="str">
        <f t="shared" si="0"/>
        <v>&lt;tr&gt;&lt;td&gt;2020-Oct-17&lt;/td&gt;&lt;td&gt;Matchday 5&lt;/td&gt;&lt;td&gt;0,625&lt;/td&gt;&lt;td&gt;Chelsea FC&lt;/td&gt;&lt;td&gt;3-3&lt;/td&gt;&lt;td&gt;2-1&lt;/td&gt;&lt;td&gt;Southampton FC&lt;/td&gt;&lt;/tr&gt;</v>
      </c>
      <c r="B43" t="s">
        <v>718</v>
      </c>
      <c r="C43" t="s">
        <v>691</v>
      </c>
      <c r="D43" t="s">
        <v>651</v>
      </c>
      <c r="E43" t="s">
        <v>56</v>
      </c>
      <c r="F43" t="s">
        <v>651</v>
      </c>
      <c r="G43" s="3">
        <v>0.625</v>
      </c>
      <c r="H43" t="s">
        <v>651</v>
      </c>
      <c r="I43" t="s">
        <v>504</v>
      </c>
      <c r="J43" t="s">
        <v>651</v>
      </c>
      <c r="K43" t="s">
        <v>515</v>
      </c>
      <c r="L43" t="s">
        <v>651</v>
      </c>
      <c r="M43" t="s">
        <v>506</v>
      </c>
      <c r="N43" t="s">
        <v>651</v>
      </c>
      <c r="O43" t="s">
        <v>488</v>
      </c>
      <c r="P43" t="s">
        <v>719</v>
      </c>
    </row>
    <row r="44" spans="1:16">
      <c r="A44" t="str">
        <f t="shared" si="0"/>
        <v>&lt;tr&gt;&lt;td&gt;2020-Oct-17&lt;/td&gt;&lt;td&gt;Matchday 5&lt;/td&gt;&lt;td&gt;0,729166666666667&lt;/td&gt;&lt;td&gt;Manchester City FC&lt;/td&gt;&lt;td&gt;1-0&lt;/td&gt;&lt;td&gt;1-0&lt;/td&gt;&lt;td&gt;Arsenal FC&lt;/td&gt;&lt;/tr&gt;</v>
      </c>
      <c r="B44" t="s">
        <v>718</v>
      </c>
      <c r="C44" t="s">
        <v>691</v>
      </c>
      <c r="D44" t="s">
        <v>651</v>
      </c>
      <c r="E44" t="s">
        <v>56</v>
      </c>
      <c r="F44" t="s">
        <v>651</v>
      </c>
      <c r="G44" s="3">
        <v>0.72916666666666663</v>
      </c>
      <c r="H44" t="s">
        <v>651</v>
      </c>
      <c r="I44" t="s">
        <v>512</v>
      </c>
      <c r="J44" t="s">
        <v>651</v>
      </c>
      <c r="K44" t="s">
        <v>487</v>
      </c>
      <c r="L44" t="s">
        <v>651</v>
      </c>
      <c r="M44" t="s">
        <v>487</v>
      </c>
      <c r="N44" t="s">
        <v>651</v>
      </c>
      <c r="O44" t="s">
        <v>485</v>
      </c>
      <c r="P44" t="s">
        <v>719</v>
      </c>
    </row>
    <row r="45" spans="1:16">
      <c r="A45" t="str">
        <f t="shared" si="0"/>
        <v>&lt;tr&gt;&lt;td&gt;2020-Oct-17&lt;/td&gt;&lt;td&gt;Matchday 5&lt;/td&gt;&lt;td&gt;0,833333333333333&lt;/td&gt;&lt;td&gt;Newcastle United FC&lt;/td&gt;&lt;td&gt;1-4&lt;/td&gt;&lt;td&gt;1-1&lt;/td&gt;&lt;td&gt;Manchester United&lt;/td&gt;&lt;/tr&gt;</v>
      </c>
      <c r="B45" t="s">
        <v>718</v>
      </c>
      <c r="C45" t="s">
        <v>691</v>
      </c>
      <c r="D45" t="s">
        <v>651</v>
      </c>
      <c r="E45" t="s">
        <v>56</v>
      </c>
      <c r="F45" t="s">
        <v>651</v>
      </c>
      <c r="G45" s="3">
        <v>0.83333333333333337</v>
      </c>
      <c r="H45" t="s">
        <v>651</v>
      </c>
      <c r="I45" t="s">
        <v>496</v>
      </c>
      <c r="J45" t="s">
        <v>651</v>
      </c>
      <c r="K45" t="s">
        <v>525</v>
      </c>
      <c r="L45" t="s">
        <v>651</v>
      </c>
      <c r="M45" t="s">
        <v>508</v>
      </c>
      <c r="N45" t="s">
        <v>651</v>
      </c>
      <c r="O45" t="s">
        <v>479</v>
      </c>
      <c r="P45" t="s">
        <v>719</v>
      </c>
    </row>
    <row r="46" spans="1:16">
      <c r="A46" t="str">
        <f t="shared" si="0"/>
        <v>&lt;tr&gt;&lt;td&gt;2020-Oct-18&lt;/td&gt;&lt;td&gt;Matchday 5&lt;/td&gt;&lt;td&gt;0,5&lt;/td&gt;&lt;td&gt;Sheffield United FC&lt;/td&gt;&lt;td&gt;1-1&lt;/td&gt;&lt;td&gt;0-0&lt;/td&gt;&lt;td&gt;Fulham FC&lt;/td&gt;&lt;/tr&gt;</v>
      </c>
      <c r="B46" t="s">
        <v>718</v>
      </c>
      <c r="C46" t="s">
        <v>659</v>
      </c>
      <c r="D46" t="s">
        <v>651</v>
      </c>
      <c r="E46" t="s">
        <v>56</v>
      </c>
      <c r="F46" t="s">
        <v>651</v>
      </c>
      <c r="G46" s="3">
        <v>0.5</v>
      </c>
      <c r="H46" t="s">
        <v>651</v>
      </c>
      <c r="I46" t="s">
        <v>501</v>
      </c>
      <c r="J46" t="s">
        <v>651</v>
      </c>
      <c r="K46" t="s">
        <v>508</v>
      </c>
      <c r="L46" t="s">
        <v>651</v>
      </c>
      <c r="M46" t="s">
        <v>495</v>
      </c>
      <c r="N46" t="s">
        <v>651</v>
      </c>
      <c r="O46" t="s">
        <v>482</v>
      </c>
      <c r="P46" t="s">
        <v>719</v>
      </c>
    </row>
    <row r="47" spans="1:16">
      <c r="A47" t="str">
        <f t="shared" si="0"/>
        <v>&lt;tr&gt;&lt;td&gt;2020-Oct-18&lt;/td&gt;&lt;td&gt;Matchday 5&lt;/td&gt;&lt;td&gt;0,583333333333333&lt;/td&gt;&lt;td&gt;Crystal Palace FC&lt;/td&gt;&lt;td&gt;1-1&lt;/td&gt;&lt;td&gt;1-0&lt;/td&gt;&lt;td&gt;Brighton and Hove Albion FC&lt;/td&gt;&lt;/tr&gt;</v>
      </c>
      <c r="B47" t="s">
        <v>718</v>
      </c>
      <c r="C47" t="s">
        <v>659</v>
      </c>
      <c r="D47" t="s">
        <v>651</v>
      </c>
      <c r="E47" t="s">
        <v>56</v>
      </c>
      <c r="F47" t="s">
        <v>651</v>
      </c>
      <c r="G47" s="3">
        <v>0.58333333333333337</v>
      </c>
      <c r="H47" t="s">
        <v>651</v>
      </c>
      <c r="I47" t="s">
        <v>486</v>
      </c>
      <c r="J47" t="s">
        <v>651</v>
      </c>
      <c r="K47" t="s">
        <v>508</v>
      </c>
      <c r="L47" t="s">
        <v>651</v>
      </c>
      <c r="M47" t="s">
        <v>487</v>
      </c>
      <c r="N47" t="s">
        <v>651</v>
      </c>
      <c r="O47" t="s">
        <v>652</v>
      </c>
      <c r="P47" t="s">
        <v>719</v>
      </c>
    </row>
    <row r="48" spans="1:16">
      <c r="A48" t="str">
        <f t="shared" si="0"/>
        <v>&lt;tr&gt;&lt;td&gt;2020-Oct-18&lt;/td&gt;&lt;td&gt;Matchday 5&lt;/td&gt;&lt;td&gt;0,6875&lt;/td&gt;&lt;td&gt;Tottenham Hotspur FC&lt;/td&gt;&lt;td&gt;3-3&lt;/td&gt;&lt;td&gt;3-0&lt;/td&gt;&lt;td&gt;West Ham United FC&lt;/td&gt;&lt;/tr&gt;</v>
      </c>
      <c r="B48" t="s">
        <v>718</v>
      </c>
      <c r="C48" t="s">
        <v>659</v>
      </c>
      <c r="D48" t="s">
        <v>651</v>
      </c>
      <c r="E48" t="s">
        <v>56</v>
      </c>
      <c r="F48" t="s">
        <v>651</v>
      </c>
      <c r="G48" s="3">
        <v>0.6875</v>
      </c>
      <c r="H48" t="s">
        <v>651</v>
      </c>
      <c r="I48" t="s">
        <v>499</v>
      </c>
      <c r="J48" t="s">
        <v>651</v>
      </c>
      <c r="K48" t="s">
        <v>515</v>
      </c>
      <c r="L48" t="s">
        <v>651</v>
      </c>
      <c r="M48" t="s">
        <v>516</v>
      </c>
      <c r="N48" t="s">
        <v>651</v>
      </c>
      <c r="O48" t="s">
        <v>493</v>
      </c>
      <c r="P48" t="s">
        <v>719</v>
      </c>
    </row>
    <row r="49" spans="1:16">
      <c r="A49" t="str">
        <f t="shared" si="0"/>
        <v>&lt;tr&gt;&lt;td&gt;2020-Oct-18&lt;/td&gt;&lt;td&gt;Matchday 5&lt;/td&gt;&lt;td&gt;0,802083333333333&lt;/td&gt;&lt;td&gt;Leicester City FC&lt;/td&gt;&lt;td&gt;0-1&lt;/td&gt;&lt;td&gt;0-0&lt;/td&gt;&lt;td&gt;Aston Villa FC&lt;/td&gt;&lt;/tr&gt;</v>
      </c>
      <c r="B49" t="s">
        <v>718</v>
      </c>
      <c r="C49" t="s">
        <v>659</v>
      </c>
      <c r="D49" t="s">
        <v>651</v>
      </c>
      <c r="E49" t="s">
        <v>56</v>
      </c>
      <c r="F49" t="s">
        <v>651</v>
      </c>
      <c r="G49" s="3">
        <v>0.80208333333333337</v>
      </c>
      <c r="H49" t="s">
        <v>651</v>
      </c>
      <c r="I49" t="s">
        <v>498</v>
      </c>
      <c r="J49" t="s">
        <v>651</v>
      </c>
      <c r="K49" t="s">
        <v>484</v>
      </c>
      <c r="L49" t="s">
        <v>651</v>
      </c>
      <c r="M49" t="s">
        <v>495</v>
      </c>
      <c r="N49" t="s">
        <v>651</v>
      </c>
      <c r="O49" t="s">
        <v>481</v>
      </c>
      <c r="P49" t="s">
        <v>719</v>
      </c>
    </row>
    <row r="50" spans="1:16">
      <c r="A50" t="str">
        <f t="shared" si="0"/>
        <v>&lt;tr&gt;&lt;td&gt;2020-Oct-19&lt;/td&gt;&lt;td&gt;Matchday 5&lt;/td&gt;&lt;td&gt;0,729166666666667&lt;/td&gt;&lt;td&gt;West Bromwich Albion FC&lt;/td&gt;&lt;td&gt;0-0&lt;/td&gt;&lt;td&gt;Bur&lt;/td&gt;&lt;td&gt;y FC&lt;/td&gt;&lt;/tr&gt;</v>
      </c>
      <c r="B50" t="s">
        <v>718</v>
      </c>
      <c r="C50" t="s">
        <v>669</v>
      </c>
      <c r="D50" t="s">
        <v>651</v>
      </c>
      <c r="E50" t="s">
        <v>56</v>
      </c>
      <c r="F50" t="s">
        <v>651</v>
      </c>
      <c r="G50" s="3">
        <v>0.72916666666666663</v>
      </c>
      <c r="H50" t="s">
        <v>651</v>
      </c>
      <c r="I50" t="s">
        <v>497</v>
      </c>
      <c r="J50" t="s">
        <v>651</v>
      </c>
      <c r="K50" t="s">
        <v>495</v>
      </c>
      <c r="L50" t="s">
        <v>651</v>
      </c>
      <c r="M50" t="s">
        <v>640</v>
      </c>
      <c r="N50" t="s">
        <v>651</v>
      </c>
      <c r="O50" t="s">
        <v>641</v>
      </c>
      <c r="P50" t="s">
        <v>719</v>
      </c>
    </row>
    <row r="51" spans="1:16">
      <c r="A51" t="str">
        <f t="shared" si="0"/>
        <v>&lt;tr&gt;&lt;td&gt;2020-Oct-19&lt;/td&gt;&lt;td&gt;Matchday 5&lt;/td&gt;&lt;td&gt;0,833333333333333&lt;/td&gt;&lt;td&gt;Leeds United FC&lt;/td&gt;&lt;td&gt;0-1&lt;/td&gt;&lt;td&gt;0-0&lt;/td&gt;&lt;td&gt;Wolverhampton Wanderers FC&lt;/td&gt;&lt;/tr&gt;</v>
      </c>
      <c r="B51" t="s">
        <v>718</v>
      </c>
      <c r="C51" t="s">
        <v>669</v>
      </c>
      <c r="D51" t="s">
        <v>651</v>
      </c>
      <c r="E51" t="s">
        <v>56</v>
      </c>
      <c r="F51" t="s">
        <v>651</v>
      </c>
      <c r="G51" s="3">
        <v>0.83333333333333337</v>
      </c>
      <c r="H51" t="s">
        <v>651</v>
      </c>
      <c r="I51" t="s">
        <v>492</v>
      </c>
      <c r="J51" t="s">
        <v>651</v>
      </c>
      <c r="K51" t="s">
        <v>484</v>
      </c>
      <c r="L51" t="s">
        <v>651</v>
      </c>
      <c r="M51" t="s">
        <v>495</v>
      </c>
      <c r="N51" t="s">
        <v>651</v>
      </c>
      <c r="O51" t="s">
        <v>502</v>
      </c>
      <c r="P51" t="s">
        <v>719</v>
      </c>
    </row>
    <row r="52" spans="1:16">
      <c r="A52" t="str">
        <f t="shared" si="0"/>
        <v>&lt;tr&gt;&lt;td&gt;2020-Oct-23&lt;/td&gt;&lt;td&gt;Matchday 6&lt;/td&gt;&lt;td&gt;0,833333333333333&lt;/td&gt;&lt;td&gt;Aston Villa FC&lt;/td&gt;&lt;td&gt;0-3&lt;/td&gt;&lt;td&gt;0-0&lt;/td&gt;&lt;td&gt;Leeds United FC&lt;/td&gt;&lt;/tr&gt;</v>
      </c>
      <c r="B52" t="s">
        <v>718</v>
      </c>
      <c r="C52" t="s">
        <v>674</v>
      </c>
      <c r="D52" t="s">
        <v>651</v>
      </c>
      <c r="E52" t="s">
        <v>68</v>
      </c>
      <c r="F52" t="s">
        <v>651</v>
      </c>
      <c r="G52" s="3">
        <v>0.83333333333333337</v>
      </c>
      <c r="H52" t="s">
        <v>651</v>
      </c>
      <c r="I52" t="s">
        <v>481</v>
      </c>
      <c r="J52" t="s">
        <v>651</v>
      </c>
      <c r="K52" t="s">
        <v>483</v>
      </c>
      <c r="L52" t="s">
        <v>651</v>
      </c>
      <c r="M52" t="s">
        <v>495</v>
      </c>
      <c r="N52" t="s">
        <v>651</v>
      </c>
      <c r="O52" t="s">
        <v>492</v>
      </c>
      <c r="P52" t="s">
        <v>719</v>
      </c>
    </row>
    <row r="53" spans="1:16">
      <c r="A53" t="str">
        <f t="shared" si="0"/>
        <v>&lt;tr&gt;&lt;td&gt;2020-Oct-24&lt;/td&gt;&lt;td&gt;Matchday 6&lt;/td&gt;&lt;td&gt;0,520833333333333&lt;/td&gt;&lt;td&gt;West Ham United FC&lt;/td&gt;&lt;td&gt;1-1&lt;/td&gt;&lt;td&gt;1-0&lt;/td&gt;&lt;td&gt;Manchester City FC&lt;/td&gt;&lt;/tr&gt;</v>
      </c>
      <c r="B53" t="s">
        <v>718</v>
      </c>
      <c r="C53" t="s">
        <v>692</v>
      </c>
      <c r="D53" t="s">
        <v>651</v>
      </c>
      <c r="E53" t="s">
        <v>68</v>
      </c>
      <c r="F53" t="s">
        <v>651</v>
      </c>
      <c r="G53" s="3">
        <v>0.52083333333333337</v>
      </c>
      <c r="H53" t="s">
        <v>651</v>
      </c>
      <c r="I53" t="s">
        <v>493</v>
      </c>
      <c r="J53" t="s">
        <v>651</v>
      </c>
      <c r="K53" t="s">
        <v>508</v>
      </c>
      <c r="L53" t="s">
        <v>651</v>
      </c>
      <c r="M53" t="s">
        <v>487</v>
      </c>
      <c r="N53" t="s">
        <v>651</v>
      </c>
      <c r="O53" t="s">
        <v>512</v>
      </c>
      <c r="P53" t="s">
        <v>719</v>
      </c>
    </row>
    <row r="54" spans="1:16">
      <c r="A54" t="str">
        <f t="shared" si="0"/>
        <v>&lt;tr&gt;&lt;td&gt;2020-Oct-24&lt;/td&gt;&lt;td&gt;Matchday 6&lt;/td&gt;&lt;td&gt;0,625&lt;/td&gt;&lt;td&gt;Fulham FC&lt;/td&gt;&lt;td&gt;1-2&lt;/td&gt;&lt;td&gt;0-1&lt;/td&gt;&lt;td&gt;Crystal Palace FC&lt;/td&gt;&lt;/tr&gt;</v>
      </c>
      <c r="B54" t="s">
        <v>718</v>
      </c>
      <c r="C54" t="s">
        <v>692</v>
      </c>
      <c r="D54" t="s">
        <v>651</v>
      </c>
      <c r="E54" t="s">
        <v>68</v>
      </c>
      <c r="F54" t="s">
        <v>651</v>
      </c>
      <c r="G54" s="3">
        <v>0.625</v>
      </c>
      <c r="H54" t="s">
        <v>651</v>
      </c>
      <c r="I54" t="s">
        <v>482</v>
      </c>
      <c r="J54" t="s">
        <v>651</v>
      </c>
      <c r="K54" t="s">
        <v>514</v>
      </c>
      <c r="L54" t="s">
        <v>651</v>
      </c>
      <c r="M54" t="s">
        <v>484</v>
      </c>
      <c r="N54" t="s">
        <v>651</v>
      </c>
      <c r="O54" t="s">
        <v>486</v>
      </c>
      <c r="P54" t="s">
        <v>719</v>
      </c>
    </row>
    <row r="55" spans="1:16">
      <c r="A55" t="str">
        <f t="shared" si="0"/>
        <v>&lt;tr&gt;&lt;td&gt;2020-Oct-24&lt;/td&gt;&lt;td&gt;Matchday 6&lt;/td&gt;&lt;td&gt;0,729166666666667&lt;/td&gt;&lt;td&gt;Manchester United   &lt;/td&gt;&lt;td&gt;0-0&lt;/td&gt;&lt;td&gt;Che&lt;/td&gt;&lt;td&gt;a FC&lt;/td&gt;&lt;/tr&gt;</v>
      </c>
      <c r="B55" t="s">
        <v>718</v>
      </c>
      <c r="C55" t="s">
        <v>692</v>
      </c>
      <c r="D55" t="s">
        <v>651</v>
      </c>
      <c r="E55" t="s">
        <v>68</v>
      </c>
      <c r="F55" t="s">
        <v>651</v>
      </c>
      <c r="G55" s="3">
        <v>0.72916666666666663</v>
      </c>
      <c r="H55" t="s">
        <v>651</v>
      </c>
      <c r="I55" t="s">
        <v>507</v>
      </c>
      <c r="J55" t="s">
        <v>651</v>
      </c>
      <c r="K55" t="s">
        <v>495</v>
      </c>
      <c r="L55" t="s">
        <v>651</v>
      </c>
      <c r="M55" t="s">
        <v>642</v>
      </c>
      <c r="N55" t="s">
        <v>651</v>
      </c>
      <c r="O55" t="s">
        <v>643</v>
      </c>
      <c r="P55" t="s">
        <v>719</v>
      </c>
    </row>
    <row r="56" spans="1:16">
      <c r="A56" t="str">
        <f t="shared" si="0"/>
        <v>&lt;tr&gt;&lt;td&gt;2020-Oct-24&lt;/td&gt;&lt;td&gt;Matchday 6&lt;/td&gt;&lt;td&gt;0,833333333333333&lt;/td&gt;&lt;td&gt;Liverpool FC&lt;/td&gt;&lt;td&gt;2-1&lt;/td&gt;&lt;td&gt;1-1&lt;/td&gt;&lt;td&gt;Sheffield United FC&lt;/td&gt;&lt;/tr&gt;</v>
      </c>
      <c r="B56" t="s">
        <v>718</v>
      </c>
      <c r="C56" t="s">
        <v>692</v>
      </c>
      <c r="D56" t="s">
        <v>651</v>
      </c>
      <c r="E56" t="s">
        <v>68</v>
      </c>
      <c r="F56" t="s">
        <v>651</v>
      </c>
      <c r="G56" s="3">
        <v>0.83333333333333337</v>
      </c>
      <c r="H56" t="s">
        <v>651</v>
      </c>
      <c r="I56" t="s">
        <v>489</v>
      </c>
      <c r="J56" t="s">
        <v>651</v>
      </c>
      <c r="K56" t="s">
        <v>506</v>
      </c>
      <c r="L56" t="s">
        <v>651</v>
      </c>
      <c r="M56" t="s">
        <v>508</v>
      </c>
      <c r="N56" t="s">
        <v>651</v>
      </c>
      <c r="O56" t="s">
        <v>501</v>
      </c>
      <c r="P56" t="s">
        <v>719</v>
      </c>
    </row>
    <row r="57" spans="1:16">
      <c r="A57" t="str">
        <f t="shared" si="0"/>
        <v>&lt;tr&gt;&lt;td&gt;2020-Oct-25&lt;/td&gt;&lt;td&gt;Matchday 6&lt;/td&gt;&lt;td&gt;0,583333333333333&lt;/td&gt;&lt;td&gt;Southampton FC&lt;/td&gt;&lt;td&gt;2-0&lt;/td&gt;&lt;td&gt;2-0&lt;/td&gt;&lt;td&gt;Everton FC&lt;/td&gt;&lt;/tr&gt;</v>
      </c>
      <c r="B57" t="s">
        <v>718</v>
      </c>
      <c r="C57" t="s">
        <v>660</v>
      </c>
      <c r="D57" t="s">
        <v>651</v>
      </c>
      <c r="E57" t="s">
        <v>68</v>
      </c>
      <c r="F57" t="s">
        <v>651</v>
      </c>
      <c r="G57" s="3">
        <v>0.58333333333333337</v>
      </c>
      <c r="H57" t="s">
        <v>651</v>
      </c>
      <c r="I57" t="s">
        <v>488</v>
      </c>
      <c r="J57" t="s">
        <v>651</v>
      </c>
      <c r="K57" t="s">
        <v>520</v>
      </c>
      <c r="L57" t="s">
        <v>651</v>
      </c>
      <c r="M57" t="s">
        <v>520</v>
      </c>
      <c r="N57" t="s">
        <v>651</v>
      </c>
      <c r="O57" t="s">
        <v>500</v>
      </c>
      <c r="P57" t="s">
        <v>719</v>
      </c>
    </row>
    <row r="58" spans="1:16">
      <c r="A58" t="str">
        <f t="shared" si="0"/>
        <v>&lt;tr&gt;&lt;td&gt;2020-Oct-25&lt;/td&gt;&lt;td&gt;Matchday 6&lt;/td&gt;&lt;td&gt;0,6875&lt;/td&gt;&lt;td&gt;Wolverhampton Wanderers FC&lt;/td&gt;&lt;td&gt;1-1&lt;/td&gt;&lt;td&gt;0-0&lt;/td&gt;&lt;td&gt;Newcastle United FC&lt;/td&gt;&lt;/tr&gt;</v>
      </c>
      <c r="B58" t="s">
        <v>718</v>
      </c>
      <c r="C58" t="s">
        <v>660</v>
      </c>
      <c r="D58" t="s">
        <v>651</v>
      </c>
      <c r="E58" t="s">
        <v>68</v>
      </c>
      <c r="F58" t="s">
        <v>651</v>
      </c>
      <c r="G58" s="3">
        <v>0.6875</v>
      </c>
      <c r="H58" t="s">
        <v>651</v>
      </c>
      <c r="I58" t="s">
        <v>502</v>
      </c>
      <c r="J58" t="s">
        <v>651</v>
      </c>
      <c r="K58" t="s">
        <v>508</v>
      </c>
      <c r="L58" t="s">
        <v>651</v>
      </c>
      <c r="M58" t="s">
        <v>495</v>
      </c>
      <c r="N58" t="s">
        <v>651</v>
      </c>
      <c r="O58" t="s">
        <v>496</v>
      </c>
      <c r="P58" t="s">
        <v>719</v>
      </c>
    </row>
    <row r="59" spans="1:16">
      <c r="A59" t="str">
        <f t="shared" si="0"/>
        <v>&lt;tr&gt;&lt;td&gt;2020-Oct-25&lt;/td&gt;&lt;td&gt;Matchday 6&lt;/td&gt;&lt;td&gt;0,802083333333333&lt;/td&gt;&lt;td&gt;Arsenal FC&lt;/td&gt;&lt;td&gt;0-1&lt;/td&gt;&lt;td&gt;0-0&lt;/td&gt;&lt;td&gt;Leicester City FC&lt;/td&gt;&lt;/tr&gt;</v>
      </c>
      <c r="B59" t="s">
        <v>718</v>
      </c>
      <c r="C59" t="s">
        <v>660</v>
      </c>
      <c r="D59" t="s">
        <v>651</v>
      </c>
      <c r="E59" t="s">
        <v>68</v>
      </c>
      <c r="F59" t="s">
        <v>651</v>
      </c>
      <c r="G59" s="3">
        <v>0.80208333333333337</v>
      </c>
      <c r="H59" t="s">
        <v>651</v>
      </c>
      <c r="I59" t="s">
        <v>485</v>
      </c>
      <c r="J59" t="s">
        <v>651</v>
      </c>
      <c r="K59" t="s">
        <v>484</v>
      </c>
      <c r="L59" t="s">
        <v>651</v>
      </c>
      <c r="M59" t="s">
        <v>495</v>
      </c>
      <c r="N59" t="s">
        <v>651</v>
      </c>
      <c r="O59" t="s">
        <v>498</v>
      </c>
      <c r="P59" t="s">
        <v>719</v>
      </c>
    </row>
    <row r="60" spans="1:16">
      <c r="A60" t="str">
        <f t="shared" si="0"/>
        <v>&lt;tr&gt;&lt;td&gt;2020-Oct-26&lt;/td&gt;&lt;td&gt;Matchday 6&lt;/td&gt;&lt;td&gt;0,729166666666667&lt;/td&gt;&lt;td&gt;Brighton and Hove Albion FC&lt;/td&gt;&lt;td&gt;1-1&lt;/td&gt;&lt;td&gt;1-0&lt;/td&gt;&lt;td&gt;West Bromwich Albion FC&lt;/td&gt;&lt;/tr&gt;</v>
      </c>
      <c r="B60" t="s">
        <v>718</v>
      </c>
      <c r="C60" t="s">
        <v>670</v>
      </c>
      <c r="D60" t="s">
        <v>651</v>
      </c>
      <c r="E60" t="s">
        <v>68</v>
      </c>
      <c r="F60" t="s">
        <v>651</v>
      </c>
      <c r="G60" s="3">
        <v>0.72916666666666663</v>
      </c>
      <c r="H60" t="s">
        <v>651</v>
      </c>
      <c r="I60" t="s">
        <v>652</v>
      </c>
      <c r="J60" t="s">
        <v>651</v>
      </c>
      <c r="K60" t="s">
        <v>508</v>
      </c>
      <c r="L60" t="s">
        <v>651</v>
      </c>
      <c r="M60" t="s">
        <v>487</v>
      </c>
      <c r="N60" t="s">
        <v>651</v>
      </c>
      <c r="O60" t="s">
        <v>497</v>
      </c>
      <c r="P60" t="s">
        <v>719</v>
      </c>
    </row>
    <row r="61" spans="1:16">
      <c r="A61" t="str">
        <f t="shared" si="0"/>
        <v>&lt;tr&gt;&lt;td&gt;2020-Oct-26&lt;/td&gt;&lt;td&gt;Matchday 6&lt;/td&gt;&lt;td&gt;0,833333333333333&lt;/td&gt;&lt;td&gt;Burnley FC&lt;/td&gt;&lt;td&gt;0-1&lt;/td&gt;&lt;td&gt;0-0&lt;/td&gt;&lt;td&gt;Tottenham Hotspur FC&lt;/td&gt;&lt;/tr&gt;</v>
      </c>
      <c r="B61" t="s">
        <v>718</v>
      </c>
      <c r="C61" t="s">
        <v>670</v>
      </c>
      <c r="D61" t="s">
        <v>651</v>
      </c>
      <c r="E61" t="s">
        <v>68</v>
      </c>
      <c r="F61" t="s">
        <v>651</v>
      </c>
      <c r="G61" s="3">
        <v>0.83333333333333337</v>
      </c>
      <c r="H61" t="s">
        <v>651</v>
      </c>
      <c r="I61" t="s">
        <v>511</v>
      </c>
      <c r="J61" t="s">
        <v>651</v>
      </c>
      <c r="K61" t="s">
        <v>484</v>
      </c>
      <c r="L61" t="s">
        <v>651</v>
      </c>
      <c r="M61" t="s">
        <v>495</v>
      </c>
      <c r="N61" t="s">
        <v>651</v>
      </c>
      <c r="O61" t="s">
        <v>499</v>
      </c>
      <c r="P61" t="s">
        <v>719</v>
      </c>
    </row>
    <row r="62" spans="1:16">
      <c r="A62" t="str">
        <f t="shared" si="0"/>
        <v>&lt;tr&gt;&lt;td&gt;2020-Oct-30&lt;/td&gt;&lt;td&gt;Matchday 7&lt;/td&gt;&lt;td&gt;0,833333333333333&lt;/td&gt;&lt;td&gt;Wolverhampton Wanderers FC&lt;/td&gt;&lt;td&gt;2-0&lt;/td&gt;&lt;td&gt;2-0&lt;/td&gt;&lt;td&gt;Crystal Palace FC&lt;/td&gt;&lt;/tr&gt;</v>
      </c>
      <c r="B62" t="s">
        <v>718</v>
      </c>
      <c r="C62" t="s">
        <v>675</v>
      </c>
      <c r="D62" t="s">
        <v>651</v>
      </c>
      <c r="E62" t="s">
        <v>80</v>
      </c>
      <c r="F62" t="s">
        <v>651</v>
      </c>
      <c r="G62" s="3">
        <v>0.83333333333333337</v>
      </c>
      <c r="H62" t="s">
        <v>651</v>
      </c>
      <c r="I62" t="s">
        <v>502</v>
      </c>
      <c r="J62" t="s">
        <v>651</v>
      </c>
      <c r="K62" t="s">
        <v>520</v>
      </c>
      <c r="L62" t="s">
        <v>651</v>
      </c>
      <c r="M62" t="s">
        <v>520</v>
      </c>
      <c r="N62" t="s">
        <v>651</v>
      </c>
      <c r="O62" t="s">
        <v>486</v>
      </c>
      <c r="P62" t="s">
        <v>719</v>
      </c>
    </row>
    <row r="63" spans="1:16">
      <c r="A63" t="str">
        <f t="shared" si="0"/>
        <v>&lt;tr&gt;&lt;td&gt;2020-Oct-31&lt;/td&gt;&lt;td&gt;Matchday 7&lt;/td&gt;&lt;td&gt;0,520833333333333&lt;/td&gt;&lt;td&gt;Sheffield United FC&lt;/td&gt;&lt;td&gt;0-1&lt;/td&gt;&lt;td&gt;0-1&lt;/td&gt;&lt;td&gt;Manchester City FC&lt;/td&gt;&lt;/tr&gt;</v>
      </c>
      <c r="B63" t="s">
        <v>718</v>
      </c>
      <c r="C63" t="s">
        <v>693</v>
      </c>
      <c r="D63" t="s">
        <v>651</v>
      </c>
      <c r="E63" t="s">
        <v>80</v>
      </c>
      <c r="F63" t="s">
        <v>651</v>
      </c>
      <c r="G63" s="3">
        <v>0.52083333333333337</v>
      </c>
      <c r="H63" t="s">
        <v>651</v>
      </c>
      <c r="I63" t="s">
        <v>501</v>
      </c>
      <c r="J63" t="s">
        <v>651</v>
      </c>
      <c r="K63" t="s">
        <v>484</v>
      </c>
      <c r="L63" t="s">
        <v>651</v>
      </c>
      <c r="M63" t="s">
        <v>484</v>
      </c>
      <c r="N63" t="s">
        <v>651</v>
      </c>
      <c r="O63" t="s">
        <v>512</v>
      </c>
      <c r="P63" t="s">
        <v>719</v>
      </c>
    </row>
    <row r="64" spans="1:16">
      <c r="A64" t="str">
        <f t="shared" si="0"/>
        <v>&lt;tr&gt;&lt;td&gt;2020-Oct-31&lt;/td&gt;&lt;td&gt;Matchday 7&lt;/td&gt;&lt;td&gt;0,625&lt;/td&gt;&lt;td&gt;Burnley FC&lt;/td&gt;&lt;td&gt;0-3&lt;/td&gt;&lt;td&gt;0-1&lt;/td&gt;&lt;td&gt;Chelsea FC&lt;/td&gt;&lt;/tr&gt;</v>
      </c>
      <c r="B64" t="s">
        <v>718</v>
      </c>
      <c r="C64" t="s">
        <v>693</v>
      </c>
      <c r="D64" t="s">
        <v>651</v>
      </c>
      <c r="E64" t="s">
        <v>80</v>
      </c>
      <c r="F64" t="s">
        <v>651</v>
      </c>
      <c r="G64" s="3">
        <v>0.625</v>
      </c>
      <c r="H64" t="s">
        <v>651</v>
      </c>
      <c r="I64" t="s">
        <v>511</v>
      </c>
      <c r="J64" t="s">
        <v>651</v>
      </c>
      <c r="K64" t="s">
        <v>483</v>
      </c>
      <c r="L64" t="s">
        <v>651</v>
      </c>
      <c r="M64" t="s">
        <v>484</v>
      </c>
      <c r="N64" t="s">
        <v>651</v>
      </c>
      <c r="O64" t="s">
        <v>504</v>
      </c>
      <c r="P64" t="s">
        <v>719</v>
      </c>
    </row>
    <row r="65" spans="1:16">
      <c r="A65" t="str">
        <f t="shared" si="0"/>
        <v>&lt;tr&gt;&lt;td&gt;2020-Oct-31&lt;/td&gt;&lt;td&gt;Matchday 7&lt;/td&gt;&lt;td&gt;0,729166666666667&lt;/td&gt;&lt;td&gt;Liverpool FC&lt;/td&gt;&lt;td&gt;2-1&lt;/td&gt;&lt;td&gt;1-1&lt;/td&gt;&lt;td&gt;West Ham United FC&lt;/td&gt;&lt;/tr&gt;</v>
      </c>
      <c r="B65" t="s">
        <v>718</v>
      </c>
      <c r="C65" t="s">
        <v>693</v>
      </c>
      <c r="D65" t="s">
        <v>651</v>
      </c>
      <c r="E65" t="s">
        <v>80</v>
      </c>
      <c r="F65" t="s">
        <v>651</v>
      </c>
      <c r="G65" s="3">
        <v>0.72916666666666663</v>
      </c>
      <c r="H65" t="s">
        <v>651</v>
      </c>
      <c r="I65" t="s">
        <v>489</v>
      </c>
      <c r="J65" t="s">
        <v>651</v>
      </c>
      <c r="K65" t="s">
        <v>506</v>
      </c>
      <c r="L65" t="s">
        <v>651</v>
      </c>
      <c r="M65" t="s">
        <v>508</v>
      </c>
      <c r="N65" t="s">
        <v>651</v>
      </c>
      <c r="O65" t="s">
        <v>493</v>
      </c>
      <c r="P65" t="s">
        <v>719</v>
      </c>
    </row>
    <row r="66" spans="1:16">
      <c r="A66" t="str">
        <f t="shared" si="0"/>
        <v>&lt;tr&gt;&lt;td&gt;2020-Nov-1&lt;/td&gt;&lt;td&gt;Matchday 7&lt;/td&gt;&lt;td&gt;0,5&lt;/td&gt;&lt;td&gt;Aston Villa FC&lt;/td&gt;&lt;td&gt;3-4&lt;/td&gt;&lt;td&gt;0-3&lt;/td&gt;&lt;td&gt;Southampton FC&lt;/td&gt;&lt;/tr&gt;</v>
      </c>
      <c r="B66" t="s">
        <v>718</v>
      </c>
      <c r="C66" t="s">
        <v>661</v>
      </c>
      <c r="D66" t="s">
        <v>651</v>
      </c>
      <c r="E66" t="s">
        <v>80</v>
      </c>
      <c r="F66" t="s">
        <v>651</v>
      </c>
      <c r="G66" s="3">
        <v>0.5</v>
      </c>
      <c r="H66" t="s">
        <v>651</v>
      </c>
      <c r="I66" t="s">
        <v>481</v>
      </c>
      <c r="J66" t="s">
        <v>651</v>
      </c>
      <c r="K66" t="s">
        <v>644</v>
      </c>
      <c r="L66" t="s">
        <v>651</v>
      </c>
      <c r="M66" t="s">
        <v>483</v>
      </c>
      <c r="N66" t="s">
        <v>651</v>
      </c>
      <c r="O66" t="s">
        <v>488</v>
      </c>
      <c r="P66" t="s">
        <v>719</v>
      </c>
    </row>
    <row r="67" spans="1:16">
      <c r="A67" t="str">
        <f t="shared" ref="A67:A130" si="1">CONCATENATE(B67,C67,D67,E67,F67,G67,H67,I67,J67,K67,L67,M67,N67,O67,P67)</f>
        <v>&lt;tr&gt;&lt;td&gt;2020-Nov-1&lt;/td&gt;&lt;td&gt;Matchday 7&lt;/td&gt;&lt;td&gt;0,583333333333333&lt;/td&gt;&lt;td&gt;Newcastle United FC&lt;/td&gt;&lt;td&gt;2-1&lt;/td&gt;&lt;td&gt;0-0&lt;/td&gt;&lt;td&gt;Everton FC&lt;/td&gt;&lt;/tr&gt;</v>
      </c>
      <c r="B67" t="s">
        <v>718</v>
      </c>
      <c r="C67" t="s">
        <v>661</v>
      </c>
      <c r="D67" t="s">
        <v>651</v>
      </c>
      <c r="E67" t="s">
        <v>80</v>
      </c>
      <c r="F67" t="s">
        <v>651</v>
      </c>
      <c r="G67" s="3">
        <v>0.58333333333333337</v>
      </c>
      <c r="H67" t="s">
        <v>651</v>
      </c>
      <c r="I67" t="s">
        <v>496</v>
      </c>
      <c r="J67" t="s">
        <v>651</v>
      </c>
      <c r="K67" t="s">
        <v>506</v>
      </c>
      <c r="L67" t="s">
        <v>651</v>
      </c>
      <c r="M67" t="s">
        <v>495</v>
      </c>
      <c r="N67" t="s">
        <v>651</v>
      </c>
      <c r="O67" t="s">
        <v>500</v>
      </c>
      <c r="P67" t="s">
        <v>719</v>
      </c>
    </row>
    <row r="68" spans="1:16">
      <c r="A68" t="str">
        <f t="shared" si="1"/>
        <v>&lt;tr&gt;&lt;td&gt;2020-Nov-1&lt;/td&gt;&lt;td&gt;Matchday 7&lt;/td&gt;&lt;td&gt;0,6875&lt;/td&gt;&lt;td&gt;Manchester United   &lt;/td&gt;&lt;td&gt;0-1&lt;/td&gt;&lt;td&gt;0-0&lt;/td&gt;&lt;td&gt;Arsenal FC&lt;/td&gt;&lt;/tr&gt;</v>
      </c>
      <c r="B68" t="s">
        <v>718</v>
      </c>
      <c r="C68" t="s">
        <v>661</v>
      </c>
      <c r="D68" t="s">
        <v>651</v>
      </c>
      <c r="E68" t="s">
        <v>80</v>
      </c>
      <c r="F68" t="s">
        <v>651</v>
      </c>
      <c r="G68" s="3">
        <v>0.6875</v>
      </c>
      <c r="H68" t="s">
        <v>651</v>
      </c>
      <c r="I68" t="s">
        <v>507</v>
      </c>
      <c r="J68" t="s">
        <v>651</v>
      </c>
      <c r="K68" t="s">
        <v>484</v>
      </c>
      <c r="L68" t="s">
        <v>651</v>
      </c>
      <c r="M68" t="s">
        <v>495</v>
      </c>
      <c r="N68" t="s">
        <v>651</v>
      </c>
      <c r="O68" t="s">
        <v>485</v>
      </c>
      <c r="P68" t="s">
        <v>719</v>
      </c>
    </row>
    <row r="69" spans="1:16">
      <c r="A69" t="str">
        <f t="shared" si="1"/>
        <v>&lt;tr&gt;&lt;td&gt;2020-Nov-1&lt;/td&gt;&lt;td&gt;Matchday 7&lt;/td&gt;&lt;td&gt;0,802083333333333&lt;/td&gt;&lt;td&gt;Tottenham Hotspur FC&lt;/td&gt;&lt;td&gt;2-1&lt;/td&gt;&lt;td&gt;1-0&lt;/td&gt;&lt;td&gt;Brighton and Hove Albion FC&lt;/td&gt;&lt;/tr&gt;</v>
      </c>
      <c r="B69" t="s">
        <v>718</v>
      </c>
      <c r="C69" t="s">
        <v>661</v>
      </c>
      <c r="D69" t="s">
        <v>651</v>
      </c>
      <c r="E69" t="s">
        <v>80</v>
      </c>
      <c r="F69" t="s">
        <v>651</v>
      </c>
      <c r="G69" s="3">
        <v>0.80208333333333337</v>
      </c>
      <c r="H69" t="s">
        <v>651</v>
      </c>
      <c r="I69" t="s">
        <v>499</v>
      </c>
      <c r="J69" t="s">
        <v>651</v>
      </c>
      <c r="K69" t="s">
        <v>506</v>
      </c>
      <c r="L69" t="s">
        <v>651</v>
      </c>
      <c r="M69" t="s">
        <v>487</v>
      </c>
      <c r="N69" t="s">
        <v>651</v>
      </c>
      <c r="O69" t="s">
        <v>652</v>
      </c>
      <c r="P69" t="s">
        <v>719</v>
      </c>
    </row>
    <row r="70" spans="1:16">
      <c r="A70" t="str">
        <f t="shared" si="1"/>
        <v>&lt;tr&gt;&lt;td&gt;2020-Nov-2&lt;/td&gt;&lt;td&gt;Matchday 7&lt;/td&gt;&lt;td&gt;0,729166666666667&lt;/td&gt;&lt;td&gt;Fulham FC&lt;/td&gt;&lt;td&gt;2-0&lt;/td&gt;&lt;td&gt;2-0&lt;/td&gt;&lt;td&gt;West Bromwich Albion FC&lt;/td&gt;&lt;/tr&gt;</v>
      </c>
      <c r="B70" t="s">
        <v>718</v>
      </c>
      <c r="C70" t="s">
        <v>671</v>
      </c>
      <c r="D70" t="s">
        <v>651</v>
      </c>
      <c r="E70" t="s">
        <v>80</v>
      </c>
      <c r="F70" t="s">
        <v>651</v>
      </c>
      <c r="G70" s="3">
        <v>0.72916666666666663</v>
      </c>
      <c r="H70" t="s">
        <v>651</v>
      </c>
      <c r="I70" t="s">
        <v>482</v>
      </c>
      <c r="J70" t="s">
        <v>651</v>
      </c>
      <c r="K70" t="s">
        <v>520</v>
      </c>
      <c r="L70" t="s">
        <v>651</v>
      </c>
      <c r="M70" t="s">
        <v>520</v>
      </c>
      <c r="N70" t="s">
        <v>651</v>
      </c>
      <c r="O70" t="s">
        <v>497</v>
      </c>
      <c r="P70" t="s">
        <v>719</v>
      </c>
    </row>
    <row r="71" spans="1:16">
      <c r="A71" t="str">
        <f t="shared" si="1"/>
        <v>&lt;tr&gt;&lt;td&gt;2020-Nov-2&lt;/td&gt;&lt;td&gt;Matchday 7&lt;/td&gt;&lt;td&gt;0,833333333333333&lt;/td&gt;&lt;td&gt;Leeds United FC&lt;/td&gt;&lt;td&gt;1-4&lt;/td&gt;&lt;td&gt;0-2&lt;/td&gt;&lt;td&gt;Leicester City FC&lt;/td&gt;&lt;/tr&gt;</v>
      </c>
      <c r="B71" t="s">
        <v>718</v>
      </c>
      <c r="C71" t="s">
        <v>671</v>
      </c>
      <c r="D71" t="s">
        <v>651</v>
      </c>
      <c r="E71" t="s">
        <v>80</v>
      </c>
      <c r="F71" t="s">
        <v>651</v>
      </c>
      <c r="G71" s="3">
        <v>0.83333333333333337</v>
      </c>
      <c r="H71" t="s">
        <v>651</v>
      </c>
      <c r="I71" t="s">
        <v>492</v>
      </c>
      <c r="J71" t="s">
        <v>651</v>
      </c>
      <c r="K71" t="s">
        <v>525</v>
      </c>
      <c r="L71" t="s">
        <v>651</v>
      </c>
      <c r="M71" t="s">
        <v>494</v>
      </c>
      <c r="N71" t="s">
        <v>651</v>
      </c>
      <c r="O71" t="s">
        <v>498</v>
      </c>
      <c r="P71" t="s">
        <v>719</v>
      </c>
    </row>
    <row r="72" spans="1:16">
      <c r="A72" t="str">
        <f t="shared" si="1"/>
        <v>&lt;tr&gt;&lt;td&gt;2020-Nov-6&lt;/td&gt;&lt;td&gt;Matchday 8&lt;/td&gt;&lt;td&gt;0,729166666666667&lt;/td&gt;&lt;td&gt;Brighton and Hove Albion FC&lt;/td&gt;&lt;td&gt;0-0&lt;/td&gt;&lt;td&gt;Bur&lt;/td&gt;&lt;td&gt;y FC&lt;/td&gt;&lt;/tr&gt;</v>
      </c>
      <c r="B72" t="s">
        <v>718</v>
      </c>
      <c r="C72" t="s">
        <v>676</v>
      </c>
      <c r="D72" t="s">
        <v>651</v>
      </c>
      <c r="E72" t="s">
        <v>92</v>
      </c>
      <c r="F72" t="s">
        <v>651</v>
      </c>
      <c r="G72" s="3">
        <v>0.72916666666666663</v>
      </c>
      <c r="H72" t="s">
        <v>651</v>
      </c>
      <c r="I72" t="s">
        <v>652</v>
      </c>
      <c r="J72" t="s">
        <v>651</v>
      </c>
      <c r="K72" t="s">
        <v>495</v>
      </c>
      <c r="L72" t="s">
        <v>651</v>
      </c>
      <c r="M72" t="s">
        <v>640</v>
      </c>
      <c r="N72" t="s">
        <v>651</v>
      </c>
      <c r="O72" t="s">
        <v>641</v>
      </c>
      <c r="P72" t="s">
        <v>719</v>
      </c>
    </row>
    <row r="73" spans="1:16">
      <c r="A73" t="str">
        <f t="shared" si="1"/>
        <v>&lt;tr&gt;&lt;td&gt;2020-Nov-6&lt;/td&gt;&lt;td&gt;Matchday 8&lt;/td&gt;&lt;td&gt;0,833333333333333&lt;/td&gt;&lt;td&gt;Southampton FC&lt;/td&gt;&lt;td&gt;2-0&lt;/td&gt;&lt;td&gt;1-0&lt;/td&gt;&lt;td&gt;Newcastle United FC&lt;/td&gt;&lt;/tr&gt;</v>
      </c>
      <c r="B73" t="s">
        <v>718</v>
      </c>
      <c r="C73" t="s">
        <v>676</v>
      </c>
      <c r="D73" t="s">
        <v>651</v>
      </c>
      <c r="E73" t="s">
        <v>92</v>
      </c>
      <c r="F73" t="s">
        <v>651</v>
      </c>
      <c r="G73" s="3">
        <v>0.83333333333333337</v>
      </c>
      <c r="H73" t="s">
        <v>651</v>
      </c>
      <c r="I73" t="s">
        <v>488</v>
      </c>
      <c r="J73" t="s">
        <v>651</v>
      </c>
      <c r="K73" t="s">
        <v>520</v>
      </c>
      <c r="L73" t="s">
        <v>651</v>
      </c>
      <c r="M73" t="s">
        <v>487</v>
      </c>
      <c r="N73" t="s">
        <v>651</v>
      </c>
      <c r="O73" t="s">
        <v>496</v>
      </c>
      <c r="P73" t="s">
        <v>719</v>
      </c>
    </row>
    <row r="74" spans="1:16">
      <c r="A74" t="str">
        <f t="shared" si="1"/>
        <v>&lt;tr&gt;&lt;td&gt;2020-Nov-7&lt;/td&gt;&lt;td&gt;Matchday 8&lt;/td&gt;&lt;td&gt;0,520833333333333&lt;/td&gt;&lt;td&gt;Everton FC&lt;/td&gt;&lt;td&gt;1-3&lt;/td&gt;&lt;td&gt;1-2&lt;/td&gt;&lt;td&gt;Manchester United&lt;/td&gt;&lt;/tr&gt;</v>
      </c>
      <c r="B74" t="s">
        <v>718</v>
      </c>
      <c r="C74" t="s">
        <v>694</v>
      </c>
      <c r="D74" t="s">
        <v>651</v>
      </c>
      <c r="E74" t="s">
        <v>92</v>
      </c>
      <c r="F74" t="s">
        <v>651</v>
      </c>
      <c r="G74" s="3">
        <v>0.52083333333333337</v>
      </c>
      <c r="H74" t="s">
        <v>651</v>
      </c>
      <c r="I74" t="s">
        <v>500</v>
      </c>
      <c r="J74" t="s">
        <v>651</v>
      </c>
      <c r="K74" t="s">
        <v>503</v>
      </c>
      <c r="L74" t="s">
        <v>651</v>
      </c>
      <c r="M74" t="s">
        <v>514</v>
      </c>
      <c r="N74" t="s">
        <v>651</v>
      </c>
      <c r="O74" t="s">
        <v>479</v>
      </c>
      <c r="P74" t="s">
        <v>719</v>
      </c>
    </row>
    <row r="75" spans="1:16">
      <c r="A75" t="str">
        <f t="shared" si="1"/>
        <v>&lt;tr&gt;&lt;td&gt;2020-Nov-7&lt;/td&gt;&lt;td&gt;Matchday 8&lt;/td&gt;&lt;td&gt;0,625&lt;/td&gt;&lt;td&gt;Crystal Palace FC&lt;/td&gt;&lt;td&gt;4-1&lt;/td&gt;&lt;td&gt;3-1&lt;/td&gt;&lt;td&gt;Leeds United FC&lt;/td&gt;&lt;/tr&gt;</v>
      </c>
      <c r="B75" t="s">
        <v>718</v>
      </c>
      <c r="C75" t="s">
        <v>694</v>
      </c>
      <c r="D75" t="s">
        <v>651</v>
      </c>
      <c r="E75" t="s">
        <v>92</v>
      </c>
      <c r="F75" t="s">
        <v>651</v>
      </c>
      <c r="G75" s="3">
        <v>0.625</v>
      </c>
      <c r="H75" t="s">
        <v>651</v>
      </c>
      <c r="I75" t="s">
        <v>486</v>
      </c>
      <c r="J75" t="s">
        <v>651</v>
      </c>
      <c r="K75" t="s">
        <v>527</v>
      </c>
      <c r="L75" t="s">
        <v>651</v>
      </c>
      <c r="M75" t="s">
        <v>518</v>
      </c>
      <c r="N75" t="s">
        <v>651</v>
      </c>
      <c r="O75" t="s">
        <v>492</v>
      </c>
      <c r="P75" t="s">
        <v>719</v>
      </c>
    </row>
    <row r="76" spans="1:16">
      <c r="A76" t="str">
        <f t="shared" si="1"/>
        <v>&lt;tr&gt;&lt;td&gt;2020-Nov-7&lt;/td&gt;&lt;td&gt;Matchday 8&lt;/td&gt;&lt;td&gt;0,729166666666667&lt;/td&gt;&lt;td&gt;Chelsea FC&lt;/td&gt;&lt;td&gt;4-1&lt;/td&gt;&lt;td&gt;2-1&lt;/td&gt;&lt;td&gt;Sheffield United FC&lt;/td&gt;&lt;/tr&gt;</v>
      </c>
      <c r="B76" t="s">
        <v>718</v>
      </c>
      <c r="C76" t="s">
        <v>694</v>
      </c>
      <c r="D76" t="s">
        <v>651</v>
      </c>
      <c r="E76" t="s">
        <v>92</v>
      </c>
      <c r="F76" t="s">
        <v>651</v>
      </c>
      <c r="G76" s="3">
        <v>0.72916666666666663</v>
      </c>
      <c r="H76" t="s">
        <v>651</v>
      </c>
      <c r="I76" t="s">
        <v>504</v>
      </c>
      <c r="J76" t="s">
        <v>651</v>
      </c>
      <c r="K76" t="s">
        <v>527</v>
      </c>
      <c r="L76" t="s">
        <v>651</v>
      </c>
      <c r="M76" t="s">
        <v>506</v>
      </c>
      <c r="N76" t="s">
        <v>651</v>
      </c>
      <c r="O76" t="s">
        <v>501</v>
      </c>
      <c r="P76" t="s">
        <v>719</v>
      </c>
    </row>
    <row r="77" spans="1:16">
      <c r="A77" t="str">
        <f t="shared" si="1"/>
        <v>&lt;tr&gt;&lt;td&gt;2020-Nov-7&lt;/td&gt;&lt;td&gt;Matchday 8&lt;/td&gt;&lt;td&gt;0,833333333333333&lt;/td&gt;&lt;td&gt;West Ham United FC&lt;/td&gt;&lt;td&gt;1-0&lt;/td&gt;&lt;td&gt;0-0&lt;/td&gt;&lt;td&gt;Fulham FC&lt;/td&gt;&lt;/tr&gt;</v>
      </c>
      <c r="B77" t="s">
        <v>718</v>
      </c>
      <c r="C77" t="s">
        <v>694</v>
      </c>
      <c r="D77" t="s">
        <v>651</v>
      </c>
      <c r="E77" t="s">
        <v>92</v>
      </c>
      <c r="F77" t="s">
        <v>651</v>
      </c>
      <c r="G77" s="3">
        <v>0.83333333333333337</v>
      </c>
      <c r="H77" t="s">
        <v>651</v>
      </c>
      <c r="I77" t="s">
        <v>493</v>
      </c>
      <c r="J77" t="s">
        <v>651</v>
      </c>
      <c r="K77" t="s">
        <v>487</v>
      </c>
      <c r="L77" t="s">
        <v>651</v>
      </c>
      <c r="M77" t="s">
        <v>495</v>
      </c>
      <c r="N77" t="s">
        <v>651</v>
      </c>
      <c r="O77" t="s">
        <v>482</v>
      </c>
      <c r="P77" t="s">
        <v>719</v>
      </c>
    </row>
    <row r="78" spans="1:16">
      <c r="A78" t="str">
        <f t="shared" si="1"/>
        <v>&lt;tr&gt;&lt;td&gt;2020-Nov-8&lt;/td&gt;&lt;td&gt;Matchday 8&lt;/td&gt;&lt;td&gt;0,5&lt;/td&gt;&lt;td&gt;West Bromwich Albion FC&lt;/td&gt;&lt;td&gt;0-1&lt;/td&gt;&lt;td&gt;0-0&lt;/td&gt;&lt;td&gt;Tottenham Hotspur FC&lt;/td&gt;&lt;/tr&gt;</v>
      </c>
      <c r="B78" t="s">
        <v>718</v>
      </c>
      <c r="C78" t="s">
        <v>662</v>
      </c>
      <c r="D78" t="s">
        <v>651</v>
      </c>
      <c r="E78" t="s">
        <v>92</v>
      </c>
      <c r="F78" t="s">
        <v>651</v>
      </c>
      <c r="G78" s="3">
        <v>0.5</v>
      </c>
      <c r="H78" t="s">
        <v>651</v>
      </c>
      <c r="I78" t="s">
        <v>497</v>
      </c>
      <c r="J78" t="s">
        <v>651</v>
      </c>
      <c r="K78" t="s">
        <v>484</v>
      </c>
      <c r="L78" t="s">
        <v>651</v>
      </c>
      <c r="M78" t="s">
        <v>495</v>
      </c>
      <c r="N78" t="s">
        <v>651</v>
      </c>
      <c r="O78" t="s">
        <v>499</v>
      </c>
      <c r="P78" t="s">
        <v>719</v>
      </c>
    </row>
    <row r="79" spans="1:16">
      <c r="A79" t="str">
        <f t="shared" si="1"/>
        <v>&lt;tr&gt;&lt;td&gt;2020-Nov-8&lt;/td&gt;&lt;td&gt;Matchday 8&lt;/td&gt;&lt;td&gt;0,583333333333333&lt;/td&gt;&lt;td&gt;Leicester City FC&lt;/td&gt;&lt;td&gt;1-0&lt;/td&gt;&lt;td&gt;1-0&lt;/td&gt;&lt;td&gt;Wolverhampton Wanderers FC&lt;/td&gt;&lt;/tr&gt;</v>
      </c>
      <c r="B79" t="s">
        <v>718</v>
      </c>
      <c r="C79" t="s">
        <v>662</v>
      </c>
      <c r="D79" t="s">
        <v>651</v>
      </c>
      <c r="E79" t="s">
        <v>92</v>
      </c>
      <c r="F79" t="s">
        <v>651</v>
      </c>
      <c r="G79" s="3">
        <v>0.58333333333333337</v>
      </c>
      <c r="H79" t="s">
        <v>651</v>
      </c>
      <c r="I79" t="s">
        <v>498</v>
      </c>
      <c r="J79" t="s">
        <v>651</v>
      </c>
      <c r="K79" t="s">
        <v>487</v>
      </c>
      <c r="L79" t="s">
        <v>651</v>
      </c>
      <c r="M79" t="s">
        <v>487</v>
      </c>
      <c r="N79" t="s">
        <v>651</v>
      </c>
      <c r="O79" t="s">
        <v>502</v>
      </c>
      <c r="P79" t="s">
        <v>719</v>
      </c>
    </row>
    <row r="80" spans="1:16">
      <c r="A80" t="str">
        <f t="shared" si="1"/>
        <v>&lt;tr&gt;&lt;td&gt;2020-Nov-8&lt;/td&gt;&lt;td&gt;Matchday 8&lt;/td&gt;&lt;td&gt;0,6875&lt;/td&gt;&lt;td&gt;Manchester City FC&lt;/td&gt;&lt;td&gt;1-1&lt;/td&gt;&lt;td&gt;1-1&lt;/td&gt;&lt;td&gt;Liverpool FC&lt;/td&gt;&lt;/tr&gt;</v>
      </c>
      <c r="B80" t="s">
        <v>718</v>
      </c>
      <c r="C80" t="s">
        <v>662</v>
      </c>
      <c r="D80" t="s">
        <v>651</v>
      </c>
      <c r="E80" t="s">
        <v>92</v>
      </c>
      <c r="F80" t="s">
        <v>651</v>
      </c>
      <c r="G80" s="3">
        <v>0.6875</v>
      </c>
      <c r="H80" t="s">
        <v>651</v>
      </c>
      <c r="I80" t="s">
        <v>512</v>
      </c>
      <c r="J80" t="s">
        <v>651</v>
      </c>
      <c r="K80" t="s">
        <v>508</v>
      </c>
      <c r="L80" t="s">
        <v>651</v>
      </c>
      <c r="M80" t="s">
        <v>508</v>
      </c>
      <c r="N80" t="s">
        <v>651</v>
      </c>
      <c r="O80" t="s">
        <v>489</v>
      </c>
      <c r="P80" t="s">
        <v>719</v>
      </c>
    </row>
    <row r="81" spans="1:16">
      <c r="A81" t="str">
        <f t="shared" si="1"/>
        <v>&lt;tr&gt;&lt;td&gt;2020-Nov-8&lt;/td&gt;&lt;td&gt;Matchday 8&lt;/td&gt;&lt;td&gt;0,802083333333333&lt;/td&gt;&lt;td&gt;Arsenal FC&lt;/td&gt;&lt;td&gt;0-3&lt;/td&gt;&lt;td&gt;0-1&lt;/td&gt;&lt;td&gt;Aston Villa FC&lt;/td&gt;&lt;/tr&gt;</v>
      </c>
      <c r="B81" t="s">
        <v>718</v>
      </c>
      <c r="C81" t="s">
        <v>662</v>
      </c>
      <c r="D81" t="s">
        <v>651</v>
      </c>
      <c r="E81" t="s">
        <v>92</v>
      </c>
      <c r="F81" t="s">
        <v>651</v>
      </c>
      <c r="G81" s="3">
        <v>0.80208333333333337</v>
      </c>
      <c r="H81" t="s">
        <v>651</v>
      </c>
      <c r="I81" t="s">
        <v>485</v>
      </c>
      <c r="J81" t="s">
        <v>651</v>
      </c>
      <c r="K81" t="s">
        <v>483</v>
      </c>
      <c r="L81" t="s">
        <v>651</v>
      </c>
      <c r="M81" t="s">
        <v>484</v>
      </c>
      <c r="N81" t="s">
        <v>651</v>
      </c>
      <c r="O81" t="s">
        <v>481</v>
      </c>
      <c r="P81" t="s">
        <v>719</v>
      </c>
    </row>
    <row r="82" spans="1:16">
      <c r="A82" t="str">
        <f t="shared" si="1"/>
        <v>&lt;tr&gt;&lt;td&gt;2020-Nov-21&lt;/td&gt;&lt;td&gt;Matchday 9&lt;/td&gt;&lt;td&gt;0,520833333333333&lt;/td&gt;&lt;td&gt;Newcastle United FC&lt;/td&gt;&lt;td&gt; - &lt;/td&gt;&lt;td&gt;&lt;/td&gt;&lt;td&gt; FC&lt;/td&gt;&lt;/tr&gt;</v>
      </c>
      <c r="B82" t="s">
        <v>718</v>
      </c>
      <c r="C82" t="s">
        <v>695</v>
      </c>
      <c r="D82" t="s">
        <v>651</v>
      </c>
      <c r="E82" t="s">
        <v>104</v>
      </c>
      <c r="F82" t="s">
        <v>651</v>
      </c>
      <c r="G82" s="3">
        <v>0.52083333333333337</v>
      </c>
      <c r="H82" t="s">
        <v>651</v>
      </c>
      <c r="I82" t="s">
        <v>496</v>
      </c>
      <c r="J82" t="s">
        <v>651</v>
      </c>
      <c r="K82" t="s">
        <v>478</v>
      </c>
      <c r="L82" t="s">
        <v>651</v>
      </c>
      <c r="M82" t="s">
        <v>476</v>
      </c>
      <c r="N82" t="s">
        <v>651</v>
      </c>
      <c r="O82" t="s">
        <v>555</v>
      </c>
      <c r="P82" t="s">
        <v>719</v>
      </c>
    </row>
    <row r="83" spans="1:16">
      <c r="A83" t="str">
        <f t="shared" si="1"/>
        <v>&lt;tr&gt;&lt;td&gt;2020-Nov-21&lt;/td&gt;&lt;td&gt;Matchday 9&lt;/td&gt;&lt;td&gt;0,625&lt;/td&gt;&lt;td&gt;Aston Villa FC&lt;/td&gt;&lt;td&gt; - &lt;/td&gt;&lt;td&gt;&lt;/td&gt;&lt;td&gt;n and Hove Albion FC&lt;/td&gt;&lt;/tr&gt;</v>
      </c>
      <c r="B83" t="s">
        <v>718</v>
      </c>
      <c r="C83" t="s">
        <v>695</v>
      </c>
      <c r="D83" t="s">
        <v>651</v>
      </c>
      <c r="E83" t="s">
        <v>104</v>
      </c>
      <c r="F83" t="s">
        <v>651</v>
      </c>
      <c r="G83" s="3">
        <v>0.625</v>
      </c>
      <c r="H83" t="s">
        <v>651</v>
      </c>
      <c r="I83" t="s">
        <v>481</v>
      </c>
      <c r="J83" t="s">
        <v>651</v>
      </c>
      <c r="K83" t="s">
        <v>478</v>
      </c>
      <c r="L83" t="s">
        <v>651</v>
      </c>
      <c r="M83" t="s">
        <v>476</v>
      </c>
      <c r="N83" t="s">
        <v>651</v>
      </c>
      <c r="O83" t="s">
        <v>653</v>
      </c>
      <c r="P83" t="s">
        <v>719</v>
      </c>
    </row>
    <row r="84" spans="1:16">
      <c r="A84" t="str">
        <f t="shared" si="1"/>
        <v>&lt;tr&gt;&lt;td&gt;2020-Nov-21&lt;/td&gt;&lt;td&gt;Matchday 9&lt;/td&gt;&lt;td&gt;&lt;/td&gt;&lt;td&gt;       Burnley FC &lt;/td&gt;&lt;td&gt; - &lt;/td&gt;&lt;td&gt;&lt;/td&gt;&lt;td&gt;Crystal Palace FC&lt;/td&gt;&lt;/tr&gt;</v>
      </c>
      <c r="B84" t="s">
        <v>718</v>
      </c>
      <c r="C84" t="s">
        <v>695</v>
      </c>
      <c r="D84" t="s">
        <v>651</v>
      </c>
      <c r="E84" t="s">
        <v>104</v>
      </c>
      <c r="F84" t="s">
        <v>651</v>
      </c>
      <c r="G84" s="3" t="s">
        <v>476</v>
      </c>
      <c r="H84" t="s">
        <v>651</v>
      </c>
      <c r="I84" t="s">
        <v>557</v>
      </c>
      <c r="J84" t="s">
        <v>651</v>
      </c>
      <c r="K84" t="s">
        <v>478</v>
      </c>
      <c r="L84" t="s">
        <v>651</v>
      </c>
      <c r="M84" t="s">
        <v>476</v>
      </c>
      <c r="N84" t="s">
        <v>651</v>
      </c>
      <c r="O84" t="s">
        <v>486</v>
      </c>
      <c r="P84" t="s">
        <v>719</v>
      </c>
    </row>
    <row r="85" spans="1:16">
      <c r="A85" t="str">
        <f t="shared" si="1"/>
        <v>&lt;tr&gt;&lt;td&gt;2020-Nov-21&lt;/td&gt;&lt;td&gt;Matchday 9&lt;/td&gt;&lt;td&gt;&lt;/td&gt;&lt;td&gt;       Fulham FC &lt;/td&gt;&lt;td&gt; - &lt;/td&gt;&lt;td&gt;&lt;/td&gt;&lt;td&gt;Everton FC&lt;/td&gt;&lt;/tr&gt;</v>
      </c>
      <c r="B85" t="s">
        <v>718</v>
      </c>
      <c r="C85" t="s">
        <v>695</v>
      </c>
      <c r="D85" t="s">
        <v>651</v>
      </c>
      <c r="E85" t="s">
        <v>104</v>
      </c>
      <c r="F85" t="s">
        <v>651</v>
      </c>
      <c r="G85" s="3" t="s">
        <v>476</v>
      </c>
      <c r="H85" t="s">
        <v>651</v>
      </c>
      <c r="I85" t="s">
        <v>547</v>
      </c>
      <c r="J85" t="s">
        <v>651</v>
      </c>
      <c r="K85" t="s">
        <v>478</v>
      </c>
      <c r="L85" t="s">
        <v>651</v>
      </c>
      <c r="M85" t="s">
        <v>476</v>
      </c>
      <c r="N85" t="s">
        <v>651</v>
      </c>
      <c r="O85" t="s">
        <v>500</v>
      </c>
      <c r="P85" t="s">
        <v>719</v>
      </c>
    </row>
    <row r="86" spans="1:16">
      <c r="A86" t="str">
        <f t="shared" si="1"/>
        <v>&lt;tr&gt;&lt;td&gt;2020-Nov-21&lt;/td&gt;&lt;td&gt;Matchday 9&lt;/td&gt;&lt;td&gt;&lt;/td&gt;&lt;td&gt;       Liverpool FC &lt;/td&gt;&lt;td&gt; - &lt;/td&gt;&lt;td&gt;&lt;/td&gt;&lt;td&gt;Leicester City FC&lt;/td&gt;&lt;/tr&gt;</v>
      </c>
      <c r="B86" t="s">
        <v>718</v>
      </c>
      <c r="C86" t="s">
        <v>695</v>
      </c>
      <c r="D86" t="s">
        <v>651</v>
      </c>
      <c r="E86" t="s">
        <v>104</v>
      </c>
      <c r="F86" t="s">
        <v>651</v>
      </c>
      <c r="G86" s="3" t="s">
        <v>476</v>
      </c>
      <c r="H86" t="s">
        <v>651</v>
      </c>
      <c r="I86" t="s">
        <v>567</v>
      </c>
      <c r="J86" t="s">
        <v>651</v>
      </c>
      <c r="K86" t="s">
        <v>478</v>
      </c>
      <c r="L86" t="s">
        <v>651</v>
      </c>
      <c r="M86" t="s">
        <v>476</v>
      </c>
      <c r="N86" t="s">
        <v>651</v>
      </c>
      <c r="O86" t="s">
        <v>498</v>
      </c>
      <c r="P86" t="s">
        <v>719</v>
      </c>
    </row>
    <row r="87" spans="1:16">
      <c r="A87" t="str">
        <f t="shared" si="1"/>
        <v>&lt;tr&gt;&lt;td&gt;2020-Nov-21&lt;/td&gt;&lt;td&gt;Matchday 9&lt;/td&gt;&lt;td&gt;&lt;/td&gt;&lt;td&gt;       Manchester United    &lt;/td&gt;&lt;td&gt; - &lt;/td&gt;&lt;td&gt;&lt;/td&gt;&lt;td&gt;West Bromwich Albion FC&lt;/td&gt;&lt;/tr&gt;</v>
      </c>
      <c r="B87" t="s">
        <v>718</v>
      </c>
      <c r="C87" t="s">
        <v>695</v>
      </c>
      <c r="D87" t="s">
        <v>651</v>
      </c>
      <c r="E87" t="s">
        <v>104</v>
      </c>
      <c r="F87" t="s">
        <v>651</v>
      </c>
      <c r="G87" s="3" t="s">
        <v>476</v>
      </c>
      <c r="H87" t="s">
        <v>651</v>
      </c>
      <c r="I87" t="s">
        <v>645</v>
      </c>
      <c r="J87" t="s">
        <v>651</v>
      </c>
      <c r="K87" t="s">
        <v>478</v>
      </c>
      <c r="L87" t="s">
        <v>651</v>
      </c>
      <c r="M87" t="s">
        <v>476</v>
      </c>
      <c r="N87" t="s">
        <v>651</v>
      </c>
      <c r="O87" t="s">
        <v>497</v>
      </c>
      <c r="P87" t="s">
        <v>719</v>
      </c>
    </row>
    <row r="88" spans="1:16">
      <c r="A88" t="str">
        <f t="shared" si="1"/>
        <v>&lt;tr&gt;&lt;td&gt;2020-Nov-21&lt;/td&gt;&lt;td&gt;Matchday 9&lt;/td&gt;&lt;td&gt;&lt;/td&gt;&lt;td&gt;       Wolverhampton Wanderers FC &lt;/td&gt;&lt;td&gt; - &lt;/td&gt;&lt;td&gt;&lt;/td&gt;&lt;td&gt;Southampton FC&lt;/td&gt;&lt;/tr&gt;</v>
      </c>
      <c r="B88" t="s">
        <v>718</v>
      </c>
      <c r="C88" t="s">
        <v>695</v>
      </c>
      <c r="D88" t="s">
        <v>651</v>
      </c>
      <c r="E88" t="s">
        <v>104</v>
      </c>
      <c r="F88" t="s">
        <v>651</v>
      </c>
      <c r="G88" s="3" t="s">
        <v>476</v>
      </c>
      <c r="H88" t="s">
        <v>651</v>
      </c>
      <c r="I88" t="s">
        <v>522</v>
      </c>
      <c r="J88" t="s">
        <v>651</v>
      </c>
      <c r="K88" t="s">
        <v>478</v>
      </c>
      <c r="L88" t="s">
        <v>651</v>
      </c>
      <c r="M88" t="s">
        <v>476</v>
      </c>
      <c r="N88" t="s">
        <v>651</v>
      </c>
      <c r="O88" t="s">
        <v>488</v>
      </c>
      <c r="P88" t="s">
        <v>719</v>
      </c>
    </row>
    <row r="89" spans="1:16">
      <c r="A89" t="str">
        <f t="shared" si="1"/>
        <v>&lt;tr&gt;&lt;td&gt;2020-Nov-21&lt;/td&gt;&lt;td&gt;Matchday 9&lt;/td&gt;&lt;td&gt;0,729166666666667&lt;/td&gt;&lt;td&gt;Tottenham Hotspur FC&lt;/td&gt;&lt;td&gt; - &lt;/td&gt;&lt;td&gt;&lt;/td&gt;&lt;td&gt;ter City FC&lt;/td&gt;&lt;/tr&gt;</v>
      </c>
      <c r="B89" t="s">
        <v>718</v>
      </c>
      <c r="C89" t="s">
        <v>695</v>
      </c>
      <c r="D89" t="s">
        <v>651</v>
      </c>
      <c r="E89" t="s">
        <v>104</v>
      </c>
      <c r="F89" t="s">
        <v>651</v>
      </c>
      <c r="G89" s="3">
        <v>0.72916666666666663</v>
      </c>
      <c r="H89" t="s">
        <v>651</v>
      </c>
      <c r="I89" t="s">
        <v>499</v>
      </c>
      <c r="J89" t="s">
        <v>651</v>
      </c>
      <c r="K89" t="s">
        <v>478</v>
      </c>
      <c r="L89" t="s">
        <v>651</v>
      </c>
      <c r="M89" t="s">
        <v>476</v>
      </c>
      <c r="N89" t="s">
        <v>651</v>
      </c>
      <c r="O89" t="s">
        <v>646</v>
      </c>
      <c r="P89" t="s">
        <v>719</v>
      </c>
    </row>
    <row r="90" spans="1:16">
      <c r="A90" t="str">
        <f t="shared" si="1"/>
        <v>&lt;tr&gt;&lt;td&gt;2020-Nov-22&lt;/td&gt;&lt;td&gt;Matchday 9&lt;/td&gt;&lt;td&gt;0,583333333333333&lt;/td&gt;&lt;td&gt;Sheffield United FC&lt;/td&gt;&lt;td&gt; - &lt;/td&gt;&lt;td&gt;&lt;/td&gt;&lt;td&gt;m United FC&lt;/td&gt;&lt;/tr&gt;</v>
      </c>
      <c r="B90" t="s">
        <v>718</v>
      </c>
      <c r="C90" t="s">
        <v>663</v>
      </c>
      <c r="D90" t="s">
        <v>651</v>
      </c>
      <c r="E90" t="s">
        <v>104</v>
      </c>
      <c r="F90" t="s">
        <v>651</v>
      </c>
      <c r="G90" s="3">
        <v>0.58333333333333337</v>
      </c>
      <c r="H90" t="s">
        <v>651</v>
      </c>
      <c r="I90" t="s">
        <v>501</v>
      </c>
      <c r="J90" t="s">
        <v>651</v>
      </c>
      <c r="K90" t="s">
        <v>478</v>
      </c>
      <c r="L90" t="s">
        <v>651</v>
      </c>
      <c r="M90" t="s">
        <v>476</v>
      </c>
      <c r="N90" t="s">
        <v>651</v>
      </c>
      <c r="O90" t="s">
        <v>564</v>
      </c>
      <c r="P90" t="s">
        <v>719</v>
      </c>
    </row>
    <row r="91" spans="1:16">
      <c r="A91" t="str">
        <f t="shared" si="1"/>
        <v>&lt;tr&gt;&lt;td&gt;2020-Nov-22&lt;/td&gt;&lt;td&gt;Matchday 9&lt;/td&gt;&lt;td&gt;0,6875&lt;/td&gt;&lt;td&gt;Leeds United FC&lt;/td&gt;&lt;td&gt; - &lt;/td&gt;&lt;td&gt;&lt;/td&gt;&lt;td&gt; FC&lt;/td&gt;&lt;/tr&gt;</v>
      </c>
      <c r="B91" t="s">
        <v>718</v>
      </c>
      <c r="C91" t="s">
        <v>663</v>
      </c>
      <c r="D91" t="s">
        <v>651</v>
      </c>
      <c r="E91" t="s">
        <v>104</v>
      </c>
      <c r="F91" t="s">
        <v>651</v>
      </c>
      <c r="G91" s="3">
        <v>0.6875</v>
      </c>
      <c r="H91" t="s">
        <v>651</v>
      </c>
      <c r="I91" t="s">
        <v>492</v>
      </c>
      <c r="J91" t="s">
        <v>651</v>
      </c>
      <c r="K91" t="s">
        <v>478</v>
      </c>
      <c r="L91" t="s">
        <v>651</v>
      </c>
      <c r="M91" t="s">
        <v>476</v>
      </c>
      <c r="N91" t="s">
        <v>651</v>
      </c>
      <c r="O91" t="s">
        <v>555</v>
      </c>
      <c r="P91" t="s">
        <v>719</v>
      </c>
    </row>
    <row r="92" spans="1:16">
      <c r="A92" t="str">
        <f t="shared" si="1"/>
        <v>&lt;tr&gt;&lt;td&gt;2020-Nov-28&lt;/td&gt;&lt;td&gt;Matchday 10&lt;/td&gt;&lt;td&gt;&lt;/td&gt;&lt;td&gt;Arsenal FC &lt;/td&gt;&lt;td&gt; - &lt;/td&gt;&lt;td&gt;&lt;/td&gt;&lt;td&gt;Wolverhampton Wanderers FC&lt;/td&gt;&lt;/tr&gt;</v>
      </c>
      <c r="B92" t="s">
        <v>718</v>
      </c>
      <c r="C92" t="s">
        <v>696</v>
      </c>
      <c r="D92" t="s">
        <v>651</v>
      </c>
      <c r="E92" t="s">
        <v>116</v>
      </c>
      <c r="F92" t="s">
        <v>651</v>
      </c>
      <c r="G92" s="3" t="s">
        <v>476</v>
      </c>
      <c r="H92" t="s">
        <v>651</v>
      </c>
      <c r="I92" t="s">
        <v>537</v>
      </c>
      <c r="J92" t="s">
        <v>651</v>
      </c>
      <c r="K92" t="s">
        <v>478</v>
      </c>
      <c r="L92" t="s">
        <v>651</v>
      </c>
      <c r="M92" t="s">
        <v>476</v>
      </c>
      <c r="N92" t="s">
        <v>651</v>
      </c>
      <c r="O92" t="s">
        <v>502</v>
      </c>
      <c r="P92" t="s">
        <v>719</v>
      </c>
    </row>
    <row r="93" spans="1:16">
      <c r="A93" t="str">
        <f t="shared" si="1"/>
        <v>&lt;tr&gt;&lt;td&gt;2020-Nov-28&lt;/td&gt;&lt;td&gt;Matchday 10&lt;/td&gt;&lt;td&gt;&lt;/td&gt;&lt;td&gt;Leicester City FC &lt;/td&gt;&lt;td&gt; - &lt;/td&gt;&lt;td&gt;&lt;/td&gt;&lt;td&gt;Fulham FC&lt;/td&gt;&lt;/tr&gt;</v>
      </c>
      <c r="B93" t="s">
        <v>718</v>
      </c>
      <c r="C93" t="s">
        <v>696</v>
      </c>
      <c r="D93" t="s">
        <v>651</v>
      </c>
      <c r="E93" t="s">
        <v>116</v>
      </c>
      <c r="F93" t="s">
        <v>651</v>
      </c>
      <c r="G93" s="3" t="s">
        <v>476</v>
      </c>
      <c r="H93" t="s">
        <v>651</v>
      </c>
      <c r="I93" t="s">
        <v>532</v>
      </c>
      <c r="J93" t="s">
        <v>651</v>
      </c>
      <c r="K93" t="s">
        <v>478</v>
      </c>
      <c r="L93" t="s">
        <v>651</v>
      </c>
      <c r="M93" t="s">
        <v>476</v>
      </c>
      <c r="N93" t="s">
        <v>651</v>
      </c>
      <c r="O93" t="s">
        <v>482</v>
      </c>
      <c r="P93" t="s">
        <v>719</v>
      </c>
    </row>
    <row r="94" spans="1:16">
      <c r="A94" t="str">
        <f t="shared" si="1"/>
        <v>&lt;tr&gt;&lt;td&gt;2020-Nov-28&lt;/td&gt;&lt;td&gt;Matchday 10&lt;/td&gt;&lt;td&gt;0,520833333333333&lt;/td&gt;&lt;td&gt;Brighton and Hove Albion FC&lt;/td&gt;&lt;td&gt; - &lt;/td&gt;&lt;td&gt;&lt;/td&gt;&lt;td&gt;ol FC&lt;/td&gt;&lt;/tr&gt;</v>
      </c>
      <c r="B94" t="s">
        <v>718</v>
      </c>
      <c r="C94" t="s">
        <v>696</v>
      </c>
      <c r="D94" t="s">
        <v>651</v>
      </c>
      <c r="E94" t="s">
        <v>116</v>
      </c>
      <c r="F94" t="s">
        <v>651</v>
      </c>
      <c r="G94" s="3">
        <v>0.52083333333333337</v>
      </c>
      <c r="H94" t="s">
        <v>651</v>
      </c>
      <c r="I94" t="s">
        <v>652</v>
      </c>
      <c r="J94" t="s">
        <v>651</v>
      </c>
      <c r="K94" t="s">
        <v>478</v>
      </c>
      <c r="L94" t="s">
        <v>651</v>
      </c>
      <c r="M94" t="s">
        <v>476</v>
      </c>
      <c r="N94" t="s">
        <v>651</v>
      </c>
      <c r="O94" t="s">
        <v>647</v>
      </c>
      <c r="P94" t="s">
        <v>719</v>
      </c>
    </row>
    <row r="95" spans="1:16">
      <c r="A95" t="str">
        <f t="shared" si="1"/>
        <v>&lt;tr&gt;&lt;td&gt;2020-Nov-28&lt;/td&gt;&lt;td&gt;Matchday 10&lt;/td&gt;&lt;td&gt;0,625&lt;/td&gt;&lt;td&gt;Crystal Palace FC&lt;/td&gt;&lt;td&gt; - &lt;/td&gt;&lt;td&gt;&lt;/td&gt;&lt;td&gt;le United FC&lt;/td&gt;&lt;/tr&gt;</v>
      </c>
      <c r="B95" t="s">
        <v>718</v>
      </c>
      <c r="C95" t="s">
        <v>696</v>
      </c>
      <c r="D95" t="s">
        <v>651</v>
      </c>
      <c r="E95" t="s">
        <v>116</v>
      </c>
      <c r="F95" t="s">
        <v>651</v>
      </c>
      <c r="G95" s="3">
        <v>0.625</v>
      </c>
      <c r="H95" t="s">
        <v>651</v>
      </c>
      <c r="I95" t="s">
        <v>486</v>
      </c>
      <c r="J95" t="s">
        <v>651</v>
      </c>
      <c r="K95" t="s">
        <v>478</v>
      </c>
      <c r="L95" t="s">
        <v>651</v>
      </c>
      <c r="M95" t="s">
        <v>476</v>
      </c>
      <c r="N95" t="s">
        <v>651</v>
      </c>
      <c r="O95" t="s">
        <v>648</v>
      </c>
      <c r="P95" t="s">
        <v>719</v>
      </c>
    </row>
    <row r="96" spans="1:16">
      <c r="A96" t="str">
        <f t="shared" si="1"/>
        <v>&lt;tr&gt;&lt;td&gt;2020-Nov-28&lt;/td&gt;&lt;td&gt;Matchday 10&lt;/td&gt;&lt;td&gt;&lt;/td&gt;&lt;td&gt;       Manchester City FC &lt;/td&gt;&lt;td&gt; - &lt;/td&gt;&lt;td&gt;&lt;/td&gt;&lt;td&gt;Burnley FC&lt;/td&gt;&lt;/tr&gt;</v>
      </c>
      <c r="B96" t="s">
        <v>718</v>
      </c>
      <c r="C96" t="s">
        <v>696</v>
      </c>
      <c r="D96" t="s">
        <v>651</v>
      </c>
      <c r="E96" t="s">
        <v>116</v>
      </c>
      <c r="F96" t="s">
        <v>651</v>
      </c>
      <c r="G96" s="3" t="s">
        <v>476</v>
      </c>
      <c r="H96" t="s">
        <v>651</v>
      </c>
      <c r="I96" t="s">
        <v>553</v>
      </c>
      <c r="J96" t="s">
        <v>651</v>
      </c>
      <c r="K96" t="s">
        <v>478</v>
      </c>
      <c r="L96" t="s">
        <v>651</v>
      </c>
      <c r="M96" t="s">
        <v>476</v>
      </c>
      <c r="N96" t="s">
        <v>651</v>
      </c>
      <c r="O96" t="s">
        <v>511</v>
      </c>
      <c r="P96" t="s">
        <v>719</v>
      </c>
    </row>
    <row r="97" spans="1:16">
      <c r="A97" t="str">
        <f t="shared" si="1"/>
        <v>&lt;tr&gt;&lt;td&gt;2020-Nov-28&lt;/td&gt;&lt;td&gt;Matchday 10&lt;/td&gt;&lt;td&gt;&lt;/td&gt;&lt;td&gt;       West Bromwich Albion FC &lt;/td&gt;&lt;td&gt; - &lt;/td&gt;&lt;td&gt;&lt;/td&gt;&lt;td&gt;Sheffield United FC&lt;/td&gt;&lt;/tr&gt;</v>
      </c>
      <c r="B97" t="s">
        <v>718</v>
      </c>
      <c r="C97" t="s">
        <v>696</v>
      </c>
      <c r="D97" t="s">
        <v>651</v>
      </c>
      <c r="E97" t="s">
        <v>116</v>
      </c>
      <c r="F97" t="s">
        <v>651</v>
      </c>
      <c r="G97" s="3" t="s">
        <v>476</v>
      </c>
      <c r="H97" t="s">
        <v>651</v>
      </c>
      <c r="I97" t="s">
        <v>560</v>
      </c>
      <c r="J97" t="s">
        <v>651</v>
      </c>
      <c r="K97" t="s">
        <v>478</v>
      </c>
      <c r="L97" t="s">
        <v>651</v>
      </c>
      <c r="M97" t="s">
        <v>476</v>
      </c>
      <c r="N97" t="s">
        <v>651</v>
      </c>
      <c r="O97" t="s">
        <v>501</v>
      </c>
      <c r="P97" t="s">
        <v>719</v>
      </c>
    </row>
    <row r="98" spans="1:16">
      <c r="A98" t="str">
        <f t="shared" si="1"/>
        <v>&lt;tr&gt;&lt;td&gt;2020-Nov-28&lt;/td&gt;&lt;td&gt;Matchday 10&lt;/td&gt;&lt;td&gt;0,729166666666667&lt;/td&gt;&lt;td&gt;Everton FC&lt;/td&gt;&lt;td&gt; - &lt;/td&gt;&lt;td&gt;&lt;/td&gt;&lt;td&gt;nited FC&lt;/td&gt;&lt;/tr&gt;</v>
      </c>
      <c r="B98" t="s">
        <v>718</v>
      </c>
      <c r="C98" t="s">
        <v>696</v>
      </c>
      <c r="D98" t="s">
        <v>651</v>
      </c>
      <c r="E98" t="s">
        <v>116</v>
      </c>
      <c r="F98" t="s">
        <v>651</v>
      </c>
      <c r="G98" s="3">
        <v>0.72916666666666663</v>
      </c>
      <c r="H98" t="s">
        <v>651</v>
      </c>
      <c r="I98" t="s">
        <v>500</v>
      </c>
      <c r="J98" t="s">
        <v>651</v>
      </c>
      <c r="K98" t="s">
        <v>478</v>
      </c>
      <c r="L98" t="s">
        <v>651</v>
      </c>
      <c r="M98" t="s">
        <v>476</v>
      </c>
      <c r="N98" t="s">
        <v>651</v>
      </c>
      <c r="O98" t="s">
        <v>649</v>
      </c>
      <c r="P98" t="s">
        <v>719</v>
      </c>
    </row>
    <row r="99" spans="1:16">
      <c r="A99" t="str">
        <f t="shared" si="1"/>
        <v>&lt;tr&gt;&lt;td&gt;2020-Nov-29&lt;/td&gt;&lt;td&gt;Matchday 10&lt;/td&gt;&lt;td&gt;0,583333333333333&lt;/td&gt;&lt;td&gt;Southampton FC&lt;/td&gt;&lt;td&gt; - &lt;/td&gt;&lt;td&gt;&lt;/td&gt;&lt;td&gt;ter United&lt;/td&gt;&lt;/tr&gt;</v>
      </c>
      <c r="B99" t="s">
        <v>718</v>
      </c>
      <c r="C99" t="s">
        <v>664</v>
      </c>
      <c r="D99" t="s">
        <v>651</v>
      </c>
      <c r="E99" t="s">
        <v>116</v>
      </c>
      <c r="F99" t="s">
        <v>651</v>
      </c>
      <c r="G99" s="3">
        <v>0.58333333333333337</v>
      </c>
      <c r="H99" t="s">
        <v>651</v>
      </c>
      <c r="I99" t="s">
        <v>488</v>
      </c>
      <c r="J99" t="s">
        <v>651</v>
      </c>
      <c r="K99" t="s">
        <v>478</v>
      </c>
      <c r="L99" t="s">
        <v>651</v>
      </c>
      <c r="M99" t="s">
        <v>476</v>
      </c>
      <c r="N99" t="s">
        <v>651</v>
      </c>
      <c r="O99" t="s">
        <v>650</v>
      </c>
      <c r="P99" t="s">
        <v>719</v>
      </c>
    </row>
    <row r="100" spans="1:16">
      <c r="A100" t="str">
        <f t="shared" si="1"/>
        <v>&lt;tr&gt;&lt;td&gt;2020-Nov-29&lt;/td&gt;&lt;td&gt;Matchday 10&lt;/td&gt;&lt;td&gt;0,6875&lt;/td&gt;&lt;td&gt;Chelsea FC&lt;/td&gt;&lt;td&gt; - &lt;/td&gt;&lt;td&gt;&lt;/td&gt;&lt;td&gt;am Hotspur FC&lt;/td&gt;&lt;/tr&gt;</v>
      </c>
      <c r="B100" t="s">
        <v>718</v>
      </c>
      <c r="C100" t="s">
        <v>664</v>
      </c>
      <c r="D100" t="s">
        <v>651</v>
      </c>
      <c r="E100" t="s">
        <v>116</v>
      </c>
      <c r="F100" t="s">
        <v>651</v>
      </c>
      <c r="G100" s="3">
        <v>0.6875</v>
      </c>
      <c r="H100" t="s">
        <v>651</v>
      </c>
      <c r="I100" t="s">
        <v>504</v>
      </c>
      <c r="J100" t="s">
        <v>651</v>
      </c>
      <c r="K100" t="s">
        <v>478</v>
      </c>
      <c r="L100" t="s">
        <v>651</v>
      </c>
      <c r="M100" t="s">
        <v>476</v>
      </c>
      <c r="N100" t="s">
        <v>651</v>
      </c>
      <c r="O100" t="s">
        <v>552</v>
      </c>
      <c r="P100" t="s">
        <v>719</v>
      </c>
    </row>
    <row r="101" spans="1:16">
      <c r="A101" t="str">
        <f t="shared" si="1"/>
        <v>&lt;tr&gt;&lt;td&gt;2020-Nov-30&lt;/td&gt;&lt;td&gt;Matchday 10&lt;/td&gt;&lt;td&gt;0,833333333333333&lt;/td&gt;&lt;td&gt;West Ham United FC&lt;/td&gt;&lt;td&gt; - &lt;/td&gt;&lt;td&gt;&lt;/td&gt;&lt;td&gt;illa FC&lt;/td&gt;&lt;/tr&gt;</v>
      </c>
      <c r="B101" t="s">
        <v>718</v>
      </c>
      <c r="C101" t="s">
        <v>672</v>
      </c>
      <c r="D101" t="s">
        <v>651</v>
      </c>
      <c r="E101" t="s">
        <v>116</v>
      </c>
      <c r="F101" t="s">
        <v>651</v>
      </c>
      <c r="G101" s="3">
        <v>0.83333333333333337</v>
      </c>
      <c r="H101" t="s">
        <v>651</v>
      </c>
      <c r="I101" t="s">
        <v>493</v>
      </c>
      <c r="J101" t="s">
        <v>651</v>
      </c>
      <c r="K101" t="s">
        <v>478</v>
      </c>
      <c r="L101" t="s">
        <v>651</v>
      </c>
      <c r="M101" t="s">
        <v>476</v>
      </c>
      <c r="N101" t="s">
        <v>651</v>
      </c>
      <c r="O101" t="s">
        <v>566</v>
      </c>
      <c r="P101" t="s">
        <v>719</v>
      </c>
    </row>
    <row r="102" spans="1:16">
      <c r="A102" t="str">
        <f t="shared" si="1"/>
        <v>&lt;tr&gt;&lt;td&gt;2020-Dec-5&lt;/td&gt;&lt;td&gt;Matchday 11&lt;/td&gt;&lt;td&gt;&lt;/td&gt;&lt;td&gt;Aston Villa FC &lt;/td&gt;&lt;td&gt; - &lt;/td&gt;&lt;td&gt;&lt;/td&gt;&lt;td&gt;Newcastle United FC&lt;/td&gt;&lt;/tr&gt;</v>
      </c>
      <c r="B102" t="s">
        <v>718</v>
      </c>
      <c r="C102" t="s">
        <v>697</v>
      </c>
      <c r="D102" t="s">
        <v>651</v>
      </c>
      <c r="E102" t="s">
        <v>128</v>
      </c>
      <c r="F102" t="s">
        <v>651</v>
      </c>
      <c r="G102" s="3" t="s">
        <v>476</v>
      </c>
      <c r="H102" t="s">
        <v>651</v>
      </c>
      <c r="I102" t="s">
        <v>538</v>
      </c>
      <c r="J102" t="s">
        <v>651</v>
      </c>
      <c r="K102" t="s">
        <v>478</v>
      </c>
      <c r="L102" t="s">
        <v>651</v>
      </c>
      <c r="M102" t="s">
        <v>476</v>
      </c>
      <c r="N102" t="s">
        <v>651</v>
      </c>
      <c r="O102" t="s">
        <v>496</v>
      </c>
      <c r="P102" t="s">
        <v>719</v>
      </c>
    </row>
    <row r="103" spans="1:16">
      <c r="A103" t="str">
        <f t="shared" si="1"/>
        <v>&lt;tr&gt;&lt;td&gt;2020-Dec-5&lt;/td&gt;&lt;td&gt;Matchday 11&lt;/td&gt;&lt;td&gt;&lt;/td&gt;&lt;td&gt;Brighton and Hove Albion FC &lt;/td&gt;&lt;td&gt; - &lt;/td&gt;&lt;td&gt;&lt;/td&gt;&lt;td&gt;Southampton FC&lt;/td&gt;&lt;/tr&gt;</v>
      </c>
      <c r="B103" t="s">
        <v>718</v>
      </c>
      <c r="C103" t="s">
        <v>697</v>
      </c>
      <c r="D103" t="s">
        <v>651</v>
      </c>
      <c r="E103" t="s">
        <v>128</v>
      </c>
      <c r="F103" t="s">
        <v>651</v>
      </c>
      <c r="G103" s="3" t="s">
        <v>476</v>
      </c>
      <c r="H103" t="s">
        <v>651</v>
      </c>
      <c r="I103" t="s">
        <v>654</v>
      </c>
      <c r="J103" t="s">
        <v>651</v>
      </c>
      <c r="K103" t="s">
        <v>478</v>
      </c>
      <c r="L103" t="s">
        <v>651</v>
      </c>
      <c r="M103" t="s">
        <v>476</v>
      </c>
      <c r="N103" t="s">
        <v>651</v>
      </c>
      <c r="O103" t="s">
        <v>488</v>
      </c>
      <c r="P103" t="s">
        <v>719</v>
      </c>
    </row>
    <row r="104" spans="1:16">
      <c r="A104" t="str">
        <f t="shared" si="1"/>
        <v>&lt;tr&gt;&lt;td&gt;2020-Dec-5&lt;/td&gt;&lt;td&gt;Matchday 11&lt;/td&gt;&lt;td&gt;&lt;/td&gt;&lt;td&gt;Burnley FC &lt;/td&gt;&lt;td&gt; - &lt;/td&gt;&lt;td&gt;&lt;/td&gt;&lt;td&gt;Everton FC&lt;/td&gt;&lt;/tr&gt;</v>
      </c>
      <c r="B104" t="s">
        <v>718</v>
      </c>
      <c r="C104" t="s">
        <v>697</v>
      </c>
      <c r="D104" t="s">
        <v>651</v>
      </c>
      <c r="E104" t="s">
        <v>128</v>
      </c>
      <c r="F104" t="s">
        <v>651</v>
      </c>
      <c r="G104" s="3" t="s">
        <v>476</v>
      </c>
      <c r="H104" t="s">
        <v>651</v>
      </c>
      <c r="I104" t="s">
        <v>477</v>
      </c>
      <c r="J104" t="s">
        <v>651</v>
      </c>
      <c r="K104" t="s">
        <v>478</v>
      </c>
      <c r="L104" t="s">
        <v>651</v>
      </c>
      <c r="M104" t="s">
        <v>476</v>
      </c>
      <c r="N104" t="s">
        <v>651</v>
      </c>
      <c r="O104" t="s">
        <v>500</v>
      </c>
      <c r="P104" t="s">
        <v>719</v>
      </c>
    </row>
    <row r="105" spans="1:16">
      <c r="A105" t="str">
        <f t="shared" si="1"/>
        <v>&lt;tr&gt;&lt;td&gt;2020-Dec-5&lt;/td&gt;&lt;td&gt;Matchday 11&lt;/td&gt;&lt;td&gt;&lt;/td&gt;&lt;td&gt;Chelsea FC &lt;/td&gt;&lt;td&gt; - &lt;/td&gt;&lt;td&gt;&lt;/td&gt;&lt;td&gt;Leeds United FC&lt;/td&gt;&lt;/tr&gt;</v>
      </c>
      <c r="B105" t="s">
        <v>718</v>
      </c>
      <c r="C105" t="s">
        <v>697</v>
      </c>
      <c r="D105" t="s">
        <v>651</v>
      </c>
      <c r="E105" t="s">
        <v>128</v>
      </c>
      <c r="F105" t="s">
        <v>651</v>
      </c>
      <c r="G105" s="3" t="s">
        <v>476</v>
      </c>
      <c r="H105" t="s">
        <v>651</v>
      </c>
      <c r="I105" t="s">
        <v>528</v>
      </c>
      <c r="J105" t="s">
        <v>651</v>
      </c>
      <c r="K105" t="s">
        <v>478</v>
      </c>
      <c r="L105" t="s">
        <v>651</v>
      </c>
      <c r="M105" t="s">
        <v>476</v>
      </c>
      <c r="N105" t="s">
        <v>651</v>
      </c>
      <c r="O105" t="s">
        <v>492</v>
      </c>
      <c r="P105" t="s">
        <v>719</v>
      </c>
    </row>
    <row r="106" spans="1:16">
      <c r="A106" t="str">
        <f t="shared" si="1"/>
        <v>&lt;tr&gt;&lt;td&gt;2020-Dec-5&lt;/td&gt;&lt;td&gt;Matchday 11&lt;/td&gt;&lt;td&gt;&lt;/td&gt;&lt;td&gt;Liverpool FC &lt;/td&gt;&lt;td&gt; - &lt;/td&gt;&lt;td&gt;&lt;/td&gt;&lt;td&gt;Wolverhampton Wanderers FC&lt;/td&gt;&lt;/tr&gt;</v>
      </c>
      <c r="B106" t="s">
        <v>718</v>
      </c>
      <c r="C106" t="s">
        <v>697</v>
      </c>
      <c r="D106" t="s">
        <v>651</v>
      </c>
      <c r="E106" t="s">
        <v>128</v>
      </c>
      <c r="F106" t="s">
        <v>651</v>
      </c>
      <c r="G106" s="3" t="s">
        <v>476</v>
      </c>
      <c r="H106" t="s">
        <v>651</v>
      </c>
      <c r="I106" t="s">
        <v>540</v>
      </c>
      <c r="J106" t="s">
        <v>651</v>
      </c>
      <c r="K106" t="s">
        <v>478</v>
      </c>
      <c r="L106" t="s">
        <v>651</v>
      </c>
      <c r="M106" t="s">
        <v>476</v>
      </c>
      <c r="N106" t="s">
        <v>651</v>
      </c>
      <c r="O106" t="s">
        <v>502</v>
      </c>
      <c r="P106" t="s">
        <v>719</v>
      </c>
    </row>
    <row r="107" spans="1:16">
      <c r="A107" t="str">
        <f t="shared" si="1"/>
        <v>&lt;tr&gt;&lt;td&gt;2020-Dec-5&lt;/td&gt;&lt;td&gt;Matchday 11&lt;/td&gt;&lt;td&gt;&lt;/td&gt;&lt;td&gt;Manchester City FC &lt;/td&gt;&lt;td&gt; - &lt;/td&gt;&lt;td&gt;&lt;/td&gt;&lt;td&gt;Fulham FC&lt;/td&gt;&lt;/tr&gt;</v>
      </c>
      <c r="B107" t="s">
        <v>718</v>
      </c>
      <c r="C107" t="s">
        <v>697</v>
      </c>
      <c r="D107" t="s">
        <v>651</v>
      </c>
      <c r="E107" t="s">
        <v>128</v>
      </c>
      <c r="F107" t="s">
        <v>651</v>
      </c>
      <c r="G107" s="3" t="s">
        <v>476</v>
      </c>
      <c r="H107" t="s">
        <v>651</v>
      </c>
      <c r="I107" t="s">
        <v>480</v>
      </c>
      <c r="J107" t="s">
        <v>651</v>
      </c>
      <c r="K107" t="s">
        <v>478</v>
      </c>
      <c r="L107" t="s">
        <v>651</v>
      </c>
      <c r="M107" t="s">
        <v>476</v>
      </c>
      <c r="N107" t="s">
        <v>651</v>
      </c>
      <c r="O107" t="s">
        <v>482</v>
      </c>
      <c r="P107" t="s">
        <v>719</v>
      </c>
    </row>
    <row r="108" spans="1:16">
      <c r="A108" t="str">
        <f t="shared" si="1"/>
        <v>&lt;tr&gt;&lt;td&gt;2020-Dec-5&lt;/td&gt;&lt;td&gt;Matchday 11&lt;/td&gt;&lt;td&gt;&lt;/td&gt;&lt;td&gt;Sheffield United FC &lt;/td&gt;&lt;td&gt; - &lt;/td&gt;&lt;td&gt;&lt;/td&gt;&lt;td&gt;Leicester City FC&lt;/td&gt;&lt;/tr&gt;</v>
      </c>
      <c r="B108" t="s">
        <v>718</v>
      </c>
      <c r="C108" t="s">
        <v>697</v>
      </c>
      <c r="D108" t="s">
        <v>651</v>
      </c>
      <c r="E108" t="s">
        <v>128</v>
      </c>
      <c r="F108" t="s">
        <v>651</v>
      </c>
      <c r="G108" s="3" t="s">
        <v>476</v>
      </c>
      <c r="H108" t="s">
        <v>651</v>
      </c>
      <c r="I108" t="s">
        <v>534</v>
      </c>
      <c r="J108" t="s">
        <v>651</v>
      </c>
      <c r="K108" t="s">
        <v>478</v>
      </c>
      <c r="L108" t="s">
        <v>651</v>
      </c>
      <c r="M108" t="s">
        <v>476</v>
      </c>
      <c r="N108" t="s">
        <v>651</v>
      </c>
      <c r="O108" t="s">
        <v>498</v>
      </c>
      <c r="P108" t="s">
        <v>719</v>
      </c>
    </row>
    <row r="109" spans="1:16">
      <c r="A109" t="str">
        <f t="shared" si="1"/>
        <v>&lt;tr&gt;&lt;td&gt;2020-Dec-5&lt;/td&gt;&lt;td&gt;Matchday 11&lt;/td&gt;&lt;td&gt;&lt;/td&gt;&lt;td&gt;Tottenham Hotspur FC &lt;/td&gt;&lt;td&gt; - &lt;/td&gt;&lt;td&gt;&lt;/td&gt;&lt;td&gt;Arsenal FC&lt;/td&gt;&lt;/tr&gt;</v>
      </c>
      <c r="B109" t="s">
        <v>718</v>
      </c>
      <c r="C109" t="s">
        <v>697</v>
      </c>
      <c r="D109" t="s">
        <v>651</v>
      </c>
      <c r="E109" t="s">
        <v>128</v>
      </c>
      <c r="F109" t="s">
        <v>651</v>
      </c>
      <c r="G109" s="3" t="s">
        <v>476</v>
      </c>
      <c r="H109" t="s">
        <v>651</v>
      </c>
      <c r="I109" t="s">
        <v>535</v>
      </c>
      <c r="J109" t="s">
        <v>651</v>
      </c>
      <c r="K109" t="s">
        <v>478</v>
      </c>
      <c r="L109" t="s">
        <v>651</v>
      </c>
      <c r="M109" t="s">
        <v>476</v>
      </c>
      <c r="N109" t="s">
        <v>651</v>
      </c>
      <c r="O109" t="s">
        <v>485</v>
      </c>
      <c r="P109" t="s">
        <v>719</v>
      </c>
    </row>
    <row r="110" spans="1:16">
      <c r="A110" t="str">
        <f t="shared" si="1"/>
        <v>&lt;tr&gt;&lt;td&gt;2020-Dec-5&lt;/td&gt;&lt;td&gt;Matchday 11&lt;/td&gt;&lt;td&gt;&lt;/td&gt;&lt;td&gt;West Bromwich Albion FC &lt;/td&gt;&lt;td&gt; - &lt;/td&gt;&lt;td&gt;&lt;/td&gt;&lt;td&gt;Crystal Palace FC&lt;/td&gt;&lt;/tr&gt;</v>
      </c>
      <c r="B110" t="s">
        <v>718</v>
      </c>
      <c r="C110" t="s">
        <v>697</v>
      </c>
      <c r="D110" t="s">
        <v>651</v>
      </c>
      <c r="E110" t="s">
        <v>128</v>
      </c>
      <c r="F110" t="s">
        <v>651</v>
      </c>
      <c r="G110" s="3" t="s">
        <v>476</v>
      </c>
      <c r="H110" t="s">
        <v>651</v>
      </c>
      <c r="I110" t="s">
        <v>536</v>
      </c>
      <c r="J110" t="s">
        <v>651</v>
      </c>
      <c r="K110" t="s">
        <v>478</v>
      </c>
      <c r="L110" t="s">
        <v>651</v>
      </c>
      <c r="M110" t="s">
        <v>476</v>
      </c>
      <c r="N110" t="s">
        <v>651</v>
      </c>
      <c r="O110" t="s">
        <v>486</v>
      </c>
      <c r="P110" t="s">
        <v>719</v>
      </c>
    </row>
    <row r="111" spans="1:16">
      <c r="A111" t="str">
        <f t="shared" si="1"/>
        <v>&lt;tr&gt;&lt;td&gt;2020-Dec-5&lt;/td&gt;&lt;td&gt;Matchday 11&lt;/td&gt;&lt;td&gt;&lt;/td&gt;&lt;td&gt;West Ham United FC &lt;/td&gt;&lt;td&gt; - &lt;/td&gt;&lt;td&gt;&lt;/td&gt;&lt;td&gt;Manchester United&lt;/td&gt;&lt;/tr&gt;</v>
      </c>
      <c r="B111" t="s">
        <v>718</v>
      </c>
      <c r="C111" t="s">
        <v>697</v>
      </c>
      <c r="D111" t="s">
        <v>651</v>
      </c>
      <c r="E111" t="s">
        <v>128</v>
      </c>
      <c r="F111" t="s">
        <v>651</v>
      </c>
      <c r="G111" s="3" t="s">
        <v>476</v>
      </c>
      <c r="H111" t="s">
        <v>651</v>
      </c>
      <c r="I111" t="s">
        <v>543</v>
      </c>
      <c r="J111" t="s">
        <v>651</v>
      </c>
      <c r="K111" t="s">
        <v>478</v>
      </c>
      <c r="L111" t="s">
        <v>651</v>
      </c>
      <c r="M111" t="s">
        <v>476</v>
      </c>
      <c r="N111" t="s">
        <v>651</v>
      </c>
      <c r="O111" t="s">
        <v>479</v>
      </c>
      <c r="P111" t="s">
        <v>719</v>
      </c>
    </row>
    <row r="112" spans="1:16">
      <c r="A112" t="str">
        <f t="shared" si="1"/>
        <v>&lt;tr&gt;&lt;td&gt;2020-Dec-12&lt;/td&gt;&lt;td&gt;Matchday 12&lt;/td&gt;&lt;td&gt;&lt;/td&gt;&lt;td&gt;Arsenal FC &lt;/td&gt;&lt;td&gt; - &lt;/td&gt;&lt;td&gt;&lt;/td&gt;&lt;td&gt;Burnley FC&lt;/td&gt;&lt;/tr&gt;</v>
      </c>
      <c r="B112" t="s">
        <v>718</v>
      </c>
      <c r="C112" t="s">
        <v>698</v>
      </c>
      <c r="D112" t="s">
        <v>651</v>
      </c>
      <c r="E112" t="s">
        <v>140</v>
      </c>
      <c r="F112" t="s">
        <v>651</v>
      </c>
      <c r="G112" s="3" t="s">
        <v>476</v>
      </c>
      <c r="H112" t="s">
        <v>651</v>
      </c>
      <c r="I112" t="s">
        <v>537</v>
      </c>
      <c r="J112" t="s">
        <v>651</v>
      </c>
      <c r="K112" t="s">
        <v>478</v>
      </c>
      <c r="L112" t="s">
        <v>651</v>
      </c>
      <c r="M112" t="s">
        <v>476</v>
      </c>
      <c r="N112" t="s">
        <v>651</v>
      </c>
      <c r="O112" t="s">
        <v>511</v>
      </c>
      <c r="P112" t="s">
        <v>719</v>
      </c>
    </row>
    <row r="113" spans="1:16">
      <c r="A113" t="str">
        <f t="shared" si="1"/>
        <v>&lt;tr&gt;&lt;td&gt;2020-Dec-12&lt;/td&gt;&lt;td&gt;Matchday 12&lt;/td&gt;&lt;td&gt;&lt;/td&gt;&lt;td&gt;Crystal Palace FC &lt;/td&gt;&lt;td&gt; - &lt;/td&gt;&lt;td&gt;&lt;/td&gt;&lt;td&gt;Tottenham Hotspur FC&lt;/td&gt;&lt;/tr&gt;</v>
      </c>
      <c r="B113" t="s">
        <v>718</v>
      </c>
      <c r="C113" t="s">
        <v>698</v>
      </c>
      <c r="D113" t="s">
        <v>651</v>
      </c>
      <c r="E113" t="s">
        <v>140</v>
      </c>
      <c r="F113" t="s">
        <v>651</v>
      </c>
      <c r="G113" s="3" t="s">
        <v>476</v>
      </c>
      <c r="H113" t="s">
        <v>651</v>
      </c>
      <c r="I113" t="s">
        <v>529</v>
      </c>
      <c r="J113" t="s">
        <v>651</v>
      </c>
      <c r="K113" t="s">
        <v>478</v>
      </c>
      <c r="L113" t="s">
        <v>651</v>
      </c>
      <c r="M113" t="s">
        <v>476</v>
      </c>
      <c r="N113" t="s">
        <v>651</v>
      </c>
      <c r="O113" t="s">
        <v>499</v>
      </c>
      <c r="P113" t="s">
        <v>719</v>
      </c>
    </row>
    <row r="114" spans="1:16">
      <c r="A114" t="str">
        <f t="shared" si="1"/>
        <v>&lt;tr&gt;&lt;td&gt;2020-Dec-12&lt;/td&gt;&lt;td&gt;Matchday 12&lt;/td&gt;&lt;td&gt;&lt;/td&gt;&lt;td&gt;Everton FC &lt;/td&gt;&lt;td&gt; - &lt;/td&gt;&lt;td&gt;&lt;/td&gt;&lt;td&gt;Chelsea FC&lt;/td&gt;&lt;/tr&gt;</v>
      </c>
      <c r="B114" t="s">
        <v>718</v>
      </c>
      <c r="C114" t="s">
        <v>698</v>
      </c>
      <c r="D114" t="s">
        <v>651</v>
      </c>
      <c r="E114" t="s">
        <v>140</v>
      </c>
      <c r="F114" t="s">
        <v>651</v>
      </c>
      <c r="G114" s="3" t="s">
        <v>476</v>
      </c>
      <c r="H114" t="s">
        <v>651</v>
      </c>
      <c r="I114" t="s">
        <v>530</v>
      </c>
      <c r="J114" t="s">
        <v>651</v>
      </c>
      <c r="K114" t="s">
        <v>478</v>
      </c>
      <c r="L114" t="s">
        <v>651</v>
      </c>
      <c r="M114" t="s">
        <v>476</v>
      </c>
      <c r="N114" t="s">
        <v>651</v>
      </c>
      <c r="O114" t="s">
        <v>504</v>
      </c>
      <c r="P114" t="s">
        <v>719</v>
      </c>
    </row>
    <row r="115" spans="1:16">
      <c r="A115" t="str">
        <f t="shared" si="1"/>
        <v>&lt;tr&gt;&lt;td&gt;2020-Dec-12&lt;/td&gt;&lt;td&gt;Matchday 12&lt;/td&gt;&lt;td&gt;&lt;/td&gt;&lt;td&gt;Fulham FC &lt;/td&gt;&lt;td&gt; - &lt;/td&gt;&lt;td&gt;&lt;/td&gt;&lt;td&gt;Liverpool FC&lt;/td&gt;&lt;/tr&gt;</v>
      </c>
      <c r="B115" t="s">
        <v>718</v>
      </c>
      <c r="C115" t="s">
        <v>698</v>
      </c>
      <c r="D115" t="s">
        <v>651</v>
      </c>
      <c r="E115" t="s">
        <v>140</v>
      </c>
      <c r="F115" t="s">
        <v>651</v>
      </c>
      <c r="G115" s="3" t="s">
        <v>476</v>
      </c>
      <c r="H115" t="s">
        <v>651</v>
      </c>
      <c r="I115" t="s">
        <v>539</v>
      </c>
      <c r="J115" t="s">
        <v>651</v>
      </c>
      <c r="K115" t="s">
        <v>478</v>
      </c>
      <c r="L115" t="s">
        <v>651</v>
      </c>
      <c r="M115" t="s">
        <v>476</v>
      </c>
      <c r="N115" t="s">
        <v>651</v>
      </c>
      <c r="O115" t="s">
        <v>489</v>
      </c>
      <c r="P115" t="s">
        <v>719</v>
      </c>
    </row>
    <row r="116" spans="1:16">
      <c r="A116" t="str">
        <f t="shared" si="1"/>
        <v>&lt;tr&gt;&lt;td&gt;2020-Dec-12&lt;/td&gt;&lt;td&gt;Matchday 12&lt;/td&gt;&lt;td&gt;&lt;/td&gt;&lt;td&gt;Leeds United FC &lt;/td&gt;&lt;td&gt; - &lt;/td&gt;&lt;td&gt;&lt;/td&gt;&lt;td&gt;West Ham United FC&lt;/td&gt;&lt;/tr&gt;</v>
      </c>
      <c r="B116" t="s">
        <v>718</v>
      </c>
      <c r="C116" t="s">
        <v>698</v>
      </c>
      <c r="D116" t="s">
        <v>651</v>
      </c>
      <c r="E116" t="s">
        <v>140</v>
      </c>
      <c r="F116" t="s">
        <v>651</v>
      </c>
      <c r="G116" s="3" t="s">
        <v>476</v>
      </c>
      <c r="H116" t="s">
        <v>651</v>
      </c>
      <c r="I116" t="s">
        <v>531</v>
      </c>
      <c r="J116" t="s">
        <v>651</v>
      </c>
      <c r="K116" t="s">
        <v>478</v>
      </c>
      <c r="L116" t="s">
        <v>651</v>
      </c>
      <c r="M116" t="s">
        <v>476</v>
      </c>
      <c r="N116" t="s">
        <v>651</v>
      </c>
      <c r="O116" t="s">
        <v>493</v>
      </c>
      <c r="P116" t="s">
        <v>719</v>
      </c>
    </row>
    <row r="117" spans="1:16">
      <c r="A117" t="str">
        <f t="shared" si="1"/>
        <v>&lt;tr&gt;&lt;td&gt;2020-Dec-12&lt;/td&gt;&lt;td&gt;Matchday 12&lt;/td&gt;&lt;td&gt;&lt;/td&gt;&lt;td&gt;Leicester City FC &lt;/td&gt;&lt;td&gt; - &lt;/td&gt;&lt;td&gt;&lt;/td&gt;&lt;td&gt;Brighton and Hove Albion FC&lt;/td&gt;&lt;/tr&gt;</v>
      </c>
      <c r="B117" t="s">
        <v>718</v>
      </c>
      <c r="C117" t="s">
        <v>698</v>
      </c>
      <c r="D117" t="s">
        <v>651</v>
      </c>
      <c r="E117" t="s">
        <v>140</v>
      </c>
      <c r="F117" t="s">
        <v>651</v>
      </c>
      <c r="G117" s="3" t="s">
        <v>476</v>
      </c>
      <c r="H117" t="s">
        <v>651</v>
      </c>
      <c r="I117" t="s">
        <v>532</v>
      </c>
      <c r="J117" t="s">
        <v>651</v>
      </c>
      <c r="K117" t="s">
        <v>478</v>
      </c>
      <c r="L117" t="s">
        <v>651</v>
      </c>
      <c r="M117" t="s">
        <v>476</v>
      </c>
      <c r="N117" t="s">
        <v>651</v>
      </c>
      <c r="O117" t="s">
        <v>652</v>
      </c>
      <c r="P117" t="s">
        <v>719</v>
      </c>
    </row>
    <row r="118" spans="1:16">
      <c r="A118" t="str">
        <f t="shared" si="1"/>
        <v>&lt;tr&gt;&lt;td&gt;2020-Dec-12&lt;/td&gt;&lt;td&gt;Matchday 12&lt;/td&gt;&lt;td&gt;&lt;/td&gt;&lt;td&gt;Manchester United    &lt;/td&gt;&lt;td&gt; - &lt;/td&gt;&lt;td&gt;&lt;/td&gt;&lt;td&gt;Manchester City FC&lt;/td&gt;&lt;/tr&gt;</v>
      </c>
      <c r="B118" t="s">
        <v>718</v>
      </c>
      <c r="C118" t="s">
        <v>698</v>
      </c>
      <c r="D118" t="s">
        <v>651</v>
      </c>
      <c r="E118" t="s">
        <v>140</v>
      </c>
      <c r="F118" t="s">
        <v>651</v>
      </c>
      <c r="G118" s="3" t="s">
        <v>476</v>
      </c>
      <c r="H118" t="s">
        <v>651</v>
      </c>
      <c r="I118" t="s">
        <v>541</v>
      </c>
      <c r="J118" t="s">
        <v>651</v>
      </c>
      <c r="K118" t="s">
        <v>478</v>
      </c>
      <c r="L118" t="s">
        <v>651</v>
      </c>
      <c r="M118" t="s">
        <v>476</v>
      </c>
      <c r="N118" t="s">
        <v>651</v>
      </c>
      <c r="O118" t="s">
        <v>512</v>
      </c>
      <c r="P118" t="s">
        <v>719</v>
      </c>
    </row>
    <row r="119" spans="1:16">
      <c r="A119" t="str">
        <f t="shared" si="1"/>
        <v>&lt;tr&gt;&lt;td&gt;2020-Dec-12&lt;/td&gt;&lt;td&gt;Matchday 12&lt;/td&gt;&lt;td&gt;&lt;/td&gt;&lt;td&gt;Newcastle United FC &lt;/td&gt;&lt;td&gt; - &lt;/td&gt;&lt;td&gt;&lt;/td&gt;&lt;td&gt;West Bromwich Albion FC&lt;/td&gt;&lt;/tr&gt;</v>
      </c>
      <c r="B119" t="s">
        <v>718</v>
      </c>
      <c r="C119" t="s">
        <v>698</v>
      </c>
      <c r="D119" t="s">
        <v>651</v>
      </c>
      <c r="E119" t="s">
        <v>140</v>
      </c>
      <c r="F119" t="s">
        <v>651</v>
      </c>
      <c r="G119" s="3" t="s">
        <v>476</v>
      </c>
      <c r="H119" t="s">
        <v>651</v>
      </c>
      <c r="I119" t="s">
        <v>533</v>
      </c>
      <c r="J119" t="s">
        <v>651</v>
      </c>
      <c r="K119" t="s">
        <v>478</v>
      </c>
      <c r="L119" t="s">
        <v>651</v>
      </c>
      <c r="M119" t="s">
        <v>476</v>
      </c>
      <c r="N119" t="s">
        <v>651</v>
      </c>
      <c r="O119" t="s">
        <v>497</v>
      </c>
      <c r="P119" t="s">
        <v>719</v>
      </c>
    </row>
    <row r="120" spans="1:16">
      <c r="A120" t="str">
        <f t="shared" si="1"/>
        <v>&lt;tr&gt;&lt;td&gt;2020-Dec-12&lt;/td&gt;&lt;td&gt;Matchday 12&lt;/td&gt;&lt;td&gt;&lt;/td&gt;&lt;td&gt;Southampton FC &lt;/td&gt;&lt;td&gt; - &lt;/td&gt;&lt;td&gt;&lt;/td&gt;&lt;td&gt;Sheffield United FC&lt;/td&gt;&lt;/tr&gt;</v>
      </c>
      <c r="B120" t="s">
        <v>718</v>
      </c>
      <c r="C120" t="s">
        <v>698</v>
      </c>
      <c r="D120" t="s">
        <v>651</v>
      </c>
      <c r="E120" t="s">
        <v>140</v>
      </c>
      <c r="F120" t="s">
        <v>651</v>
      </c>
      <c r="G120" s="3" t="s">
        <v>476</v>
      </c>
      <c r="H120" t="s">
        <v>651</v>
      </c>
      <c r="I120" t="s">
        <v>542</v>
      </c>
      <c r="J120" t="s">
        <v>651</v>
      </c>
      <c r="K120" t="s">
        <v>478</v>
      </c>
      <c r="L120" t="s">
        <v>651</v>
      </c>
      <c r="M120" t="s">
        <v>476</v>
      </c>
      <c r="N120" t="s">
        <v>651</v>
      </c>
      <c r="O120" t="s">
        <v>501</v>
      </c>
      <c r="P120" t="s">
        <v>719</v>
      </c>
    </row>
    <row r="121" spans="1:16">
      <c r="A121" t="str">
        <f t="shared" si="1"/>
        <v>&lt;tr&gt;&lt;td&gt;2020-Dec-12&lt;/td&gt;&lt;td&gt;Matchday 12&lt;/td&gt;&lt;td&gt;&lt;/td&gt;&lt;td&gt;Wolverhampton Wanderers FC &lt;/td&gt;&lt;td&gt; - &lt;/td&gt;&lt;td&gt;&lt;/td&gt;&lt;td&gt;Aston Villa FC&lt;/td&gt;&lt;/tr&gt;</v>
      </c>
      <c r="B121" t="s">
        <v>718</v>
      </c>
      <c r="C121" t="s">
        <v>698</v>
      </c>
      <c r="D121" t="s">
        <v>651</v>
      </c>
      <c r="E121" t="s">
        <v>140</v>
      </c>
      <c r="F121" t="s">
        <v>651</v>
      </c>
      <c r="G121" s="3" t="s">
        <v>476</v>
      </c>
      <c r="H121" t="s">
        <v>651</v>
      </c>
      <c r="I121" t="s">
        <v>544</v>
      </c>
      <c r="J121" t="s">
        <v>651</v>
      </c>
      <c r="K121" t="s">
        <v>478</v>
      </c>
      <c r="L121" t="s">
        <v>651</v>
      </c>
      <c r="M121" t="s">
        <v>476</v>
      </c>
      <c r="N121" t="s">
        <v>651</v>
      </c>
      <c r="O121" t="s">
        <v>481</v>
      </c>
      <c r="P121" t="s">
        <v>719</v>
      </c>
    </row>
    <row r="122" spans="1:16">
      <c r="A122" t="str">
        <f t="shared" si="1"/>
        <v>&lt;tr&gt;&lt;td&gt;2020-Dec-15&lt;/td&gt;&lt;td&gt;Matchday 13&lt;/td&gt;&lt;td&gt;0,822916666666667&lt;/td&gt;&lt;td&gt;Arsenal FC&lt;/td&gt;&lt;td&gt; - &lt;/td&gt;&lt;td&gt;&lt;/td&gt;&lt;td&gt;pton FC&lt;/td&gt;&lt;/tr&gt;</v>
      </c>
      <c r="B122" t="s">
        <v>718</v>
      </c>
      <c r="C122" t="s">
        <v>677</v>
      </c>
      <c r="D122" t="s">
        <v>651</v>
      </c>
      <c r="E122" t="s">
        <v>152</v>
      </c>
      <c r="F122" t="s">
        <v>651</v>
      </c>
      <c r="G122" s="3">
        <v>0.82291666666666663</v>
      </c>
      <c r="H122" t="s">
        <v>651</v>
      </c>
      <c r="I122" t="s">
        <v>485</v>
      </c>
      <c r="J122" t="s">
        <v>651</v>
      </c>
      <c r="K122" t="s">
        <v>478</v>
      </c>
      <c r="L122" t="s">
        <v>651</v>
      </c>
      <c r="M122" t="s">
        <v>476</v>
      </c>
      <c r="N122" t="s">
        <v>651</v>
      </c>
      <c r="O122" t="s">
        <v>545</v>
      </c>
      <c r="P122" t="s">
        <v>719</v>
      </c>
    </row>
    <row r="123" spans="1:16">
      <c r="A123" t="str">
        <f t="shared" si="1"/>
        <v>&lt;tr&gt;&lt;td&gt;2020-Dec-15&lt;/td&gt;&lt;td&gt;Matchday 13&lt;/td&gt;&lt;td&gt;&lt;/td&gt;&lt;td&gt;       Aston Villa FC &lt;/td&gt;&lt;td&gt; - &lt;/td&gt;&lt;td&gt;&lt;/td&gt;&lt;td&gt;Burnley FC&lt;/td&gt;&lt;/tr&gt;</v>
      </c>
      <c r="B123" t="s">
        <v>718</v>
      </c>
      <c r="C123" t="s">
        <v>677</v>
      </c>
      <c r="D123" t="s">
        <v>651</v>
      </c>
      <c r="E123" t="s">
        <v>152</v>
      </c>
      <c r="F123" t="s">
        <v>651</v>
      </c>
      <c r="G123" s="3" t="s">
        <v>476</v>
      </c>
      <c r="H123" t="s">
        <v>651</v>
      </c>
      <c r="I123" t="s">
        <v>546</v>
      </c>
      <c r="J123" t="s">
        <v>651</v>
      </c>
      <c r="K123" t="s">
        <v>478</v>
      </c>
      <c r="L123" t="s">
        <v>651</v>
      </c>
      <c r="M123" t="s">
        <v>476</v>
      </c>
      <c r="N123" t="s">
        <v>651</v>
      </c>
      <c r="O123" t="s">
        <v>511</v>
      </c>
      <c r="P123" t="s">
        <v>719</v>
      </c>
    </row>
    <row r="124" spans="1:16">
      <c r="A124" t="str">
        <f t="shared" si="1"/>
        <v>&lt;tr&gt;&lt;td&gt;2020-Dec-15&lt;/td&gt;&lt;td&gt;Matchday 13&lt;/td&gt;&lt;td&gt;&lt;/td&gt;&lt;td&gt;       Fulham FC &lt;/td&gt;&lt;td&gt; - &lt;/td&gt;&lt;td&gt;&lt;/td&gt;&lt;td&gt;Brighton and Hove Albion FC&lt;/td&gt;&lt;/tr&gt;</v>
      </c>
      <c r="B124" t="s">
        <v>718</v>
      </c>
      <c r="C124" t="s">
        <v>677</v>
      </c>
      <c r="D124" t="s">
        <v>651</v>
      </c>
      <c r="E124" t="s">
        <v>152</v>
      </c>
      <c r="F124" t="s">
        <v>651</v>
      </c>
      <c r="G124" s="3" t="s">
        <v>476</v>
      </c>
      <c r="H124" t="s">
        <v>651</v>
      </c>
      <c r="I124" t="s">
        <v>547</v>
      </c>
      <c r="J124" t="s">
        <v>651</v>
      </c>
      <c r="K124" t="s">
        <v>478</v>
      </c>
      <c r="L124" t="s">
        <v>651</v>
      </c>
      <c r="M124" t="s">
        <v>476</v>
      </c>
      <c r="N124" t="s">
        <v>651</v>
      </c>
      <c r="O124" t="s">
        <v>652</v>
      </c>
      <c r="P124" t="s">
        <v>719</v>
      </c>
    </row>
    <row r="125" spans="1:16">
      <c r="A125" t="str">
        <f t="shared" si="1"/>
        <v>&lt;tr&gt;&lt;td&gt;2020-Dec-15&lt;/td&gt;&lt;td&gt;Matchday 13&lt;/td&gt;&lt;td&gt;&lt;/td&gt;&lt;td&gt;       Leeds United FC &lt;/td&gt;&lt;td&gt; - &lt;/td&gt;&lt;td&gt;&lt;/td&gt;&lt;td&gt;Newcastle United FC&lt;/td&gt;&lt;/tr&gt;</v>
      </c>
      <c r="B125" t="s">
        <v>718</v>
      </c>
      <c r="C125" t="s">
        <v>677</v>
      </c>
      <c r="D125" t="s">
        <v>651</v>
      </c>
      <c r="E125" t="s">
        <v>152</v>
      </c>
      <c r="F125" t="s">
        <v>651</v>
      </c>
      <c r="G125" s="3" t="s">
        <v>476</v>
      </c>
      <c r="H125" t="s">
        <v>651</v>
      </c>
      <c r="I125" t="s">
        <v>548</v>
      </c>
      <c r="J125" t="s">
        <v>651</v>
      </c>
      <c r="K125" t="s">
        <v>478</v>
      </c>
      <c r="L125" t="s">
        <v>651</v>
      </c>
      <c r="M125" t="s">
        <v>476</v>
      </c>
      <c r="N125" t="s">
        <v>651</v>
      </c>
      <c r="O125" t="s">
        <v>496</v>
      </c>
      <c r="P125" t="s">
        <v>719</v>
      </c>
    </row>
    <row r="126" spans="1:16">
      <c r="A126" t="str">
        <f t="shared" si="1"/>
        <v>&lt;tr&gt;&lt;td&gt;2020-Dec-15&lt;/td&gt;&lt;td&gt;Matchday 13&lt;/td&gt;&lt;td&gt;&lt;/td&gt;&lt;td&gt;       Leicester City FC &lt;/td&gt;&lt;td&gt; - &lt;/td&gt;&lt;td&gt;&lt;/td&gt;&lt;td&gt;Everton FC&lt;/td&gt;&lt;/tr&gt;</v>
      </c>
      <c r="B126" t="s">
        <v>718</v>
      </c>
      <c r="C126" t="s">
        <v>677</v>
      </c>
      <c r="D126" t="s">
        <v>651</v>
      </c>
      <c r="E126" t="s">
        <v>152</v>
      </c>
      <c r="F126" t="s">
        <v>651</v>
      </c>
      <c r="G126" s="3" t="s">
        <v>476</v>
      </c>
      <c r="H126" t="s">
        <v>651</v>
      </c>
      <c r="I126" t="s">
        <v>549</v>
      </c>
      <c r="J126" t="s">
        <v>651</v>
      </c>
      <c r="K126" t="s">
        <v>478</v>
      </c>
      <c r="L126" t="s">
        <v>651</v>
      </c>
      <c r="M126" t="s">
        <v>476</v>
      </c>
      <c r="N126" t="s">
        <v>651</v>
      </c>
      <c r="O126" t="s">
        <v>500</v>
      </c>
      <c r="P126" t="s">
        <v>719</v>
      </c>
    </row>
    <row r="127" spans="1:16">
      <c r="A127" t="str">
        <f t="shared" si="1"/>
        <v>&lt;tr&gt;&lt;td&gt;2020-Dec-15&lt;/td&gt;&lt;td&gt;Matchday 13&lt;/td&gt;&lt;td&gt;&lt;/td&gt;&lt;td&gt;       Sheffield United FC &lt;/td&gt;&lt;td&gt; - &lt;/td&gt;&lt;td&gt;&lt;/td&gt;&lt;td&gt;Manchester United&lt;/td&gt;&lt;/tr&gt;</v>
      </c>
      <c r="B127" t="s">
        <v>718</v>
      </c>
      <c r="C127" t="s">
        <v>677</v>
      </c>
      <c r="D127" t="s">
        <v>651</v>
      </c>
      <c r="E127" t="s">
        <v>152</v>
      </c>
      <c r="F127" t="s">
        <v>651</v>
      </c>
      <c r="G127" s="3" t="s">
        <v>476</v>
      </c>
      <c r="H127" t="s">
        <v>651</v>
      </c>
      <c r="I127" t="s">
        <v>550</v>
      </c>
      <c r="J127" t="s">
        <v>651</v>
      </c>
      <c r="K127" t="s">
        <v>478</v>
      </c>
      <c r="L127" t="s">
        <v>651</v>
      </c>
      <c r="M127" t="s">
        <v>476</v>
      </c>
      <c r="N127" t="s">
        <v>651</v>
      </c>
      <c r="O127" t="s">
        <v>479</v>
      </c>
      <c r="P127" t="s">
        <v>719</v>
      </c>
    </row>
    <row r="128" spans="1:16">
      <c r="A128" t="str">
        <f t="shared" si="1"/>
        <v>&lt;tr&gt;&lt;td&gt;2020-Dec-15&lt;/td&gt;&lt;td&gt;Matchday 13&lt;/td&gt;&lt;td&gt;&lt;/td&gt;&lt;td&gt;       West Ham United FC &lt;/td&gt;&lt;td&gt; - &lt;/td&gt;&lt;td&gt;&lt;/td&gt;&lt;td&gt;Crystal Palace FC&lt;/td&gt;&lt;/tr&gt;</v>
      </c>
      <c r="B128" t="s">
        <v>718</v>
      </c>
      <c r="C128" t="s">
        <v>677</v>
      </c>
      <c r="D128" t="s">
        <v>651</v>
      </c>
      <c r="E128" t="s">
        <v>152</v>
      </c>
      <c r="F128" t="s">
        <v>651</v>
      </c>
      <c r="G128" s="3" t="s">
        <v>476</v>
      </c>
      <c r="H128" t="s">
        <v>651</v>
      </c>
      <c r="I128" t="s">
        <v>551</v>
      </c>
      <c r="J128" t="s">
        <v>651</v>
      </c>
      <c r="K128" t="s">
        <v>478</v>
      </c>
      <c r="L128" t="s">
        <v>651</v>
      </c>
      <c r="M128" t="s">
        <v>476</v>
      </c>
      <c r="N128" t="s">
        <v>651</v>
      </c>
      <c r="O128" t="s">
        <v>486</v>
      </c>
      <c r="P128" t="s">
        <v>719</v>
      </c>
    </row>
    <row r="129" spans="1:16">
      <c r="A129" t="str">
        <f t="shared" si="1"/>
        <v>&lt;tr&gt;&lt;td&gt;2020-Dec-15&lt;/td&gt;&lt;td&gt;Matchday 13&lt;/td&gt;&lt;td&gt;&lt;/td&gt;&lt;td&gt;       Wolverhampton Wanderers FC &lt;/td&gt;&lt;td&gt; - &lt;/td&gt;&lt;td&gt;&lt;/td&gt;&lt;td&gt;Chelsea FC&lt;/td&gt;&lt;/tr&gt;</v>
      </c>
      <c r="B129" t="s">
        <v>718</v>
      </c>
      <c r="C129" t="s">
        <v>677</v>
      </c>
      <c r="D129" t="s">
        <v>651</v>
      </c>
      <c r="E129" t="s">
        <v>152</v>
      </c>
      <c r="F129" t="s">
        <v>651</v>
      </c>
      <c r="G129" s="3" t="s">
        <v>476</v>
      </c>
      <c r="H129" t="s">
        <v>651</v>
      </c>
      <c r="I129" t="s">
        <v>522</v>
      </c>
      <c r="J129" t="s">
        <v>651</v>
      </c>
      <c r="K129" t="s">
        <v>478</v>
      </c>
      <c r="L129" t="s">
        <v>651</v>
      </c>
      <c r="M129" t="s">
        <v>476</v>
      </c>
      <c r="N129" t="s">
        <v>651</v>
      </c>
      <c r="O129" t="s">
        <v>504</v>
      </c>
      <c r="P129" t="s">
        <v>719</v>
      </c>
    </row>
    <row r="130" spans="1:16">
      <c r="A130" t="str">
        <f t="shared" si="1"/>
        <v>&lt;tr&gt;&lt;td&gt;2020-Dec-16&lt;/td&gt;&lt;td&gt;Matchday 13&lt;/td&gt;&lt;td&gt;0,833333333333333&lt;/td&gt;&lt;td&gt;Liverpool FC&lt;/td&gt;&lt;td&gt; - &lt;/td&gt;&lt;td&gt;&lt;/td&gt;&lt;td&gt;am Hotspur FC&lt;/td&gt;&lt;/tr&gt;</v>
      </c>
      <c r="B130" t="s">
        <v>718</v>
      </c>
      <c r="C130" t="s">
        <v>682</v>
      </c>
      <c r="D130" t="s">
        <v>651</v>
      </c>
      <c r="E130" t="s">
        <v>152</v>
      </c>
      <c r="F130" t="s">
        <v>651</v>
      </c>
      <c r="G130" s="3">
        <v>0.83333333333333337</v>
      </c>
      <c r="H130" t="s">
        <v>651</v>
      </c>
      <c r="I130" t="s">
        <v>489</v>
      </c>
      <c r="J130" t="s">
        <v>651</v>
      </c>
      <c r="K130" t="s">
        <v>478</v>
      </c>
      <c r="L130" t="s">
        <v>651</v>
      </c>
      <c r="M130" t="s">
        <v>476</v>
      </c>
      <c r="N130" t="s">
        <v>651</v>
      </c>
      <c r="O130" t="s">
        <v>552</v>
      </c>
      <c r="P130" t="s">
        <v>719</v>
      </c>
    </row>
    <row r="131" spans="1:16">
      <c r="A131" t="str">
        <f t="shared" ref="A131:A194" si="2">CONCATENATE(B131,C131,D131,E131,F131,G131,H131,I131,J131,K131,L131,M131,N131,O131,P131)</f>
        <v>&lt;tr&gt;&lt;td&gt;2020-Dec-16&lt;/td&gt;&lt;td&gt;Matchday 13&lt;/td&gt;&lt;td&gt;&lt;/td&gt;&lt;td&gt;       Manchester City FC &lt;/td&gt;&lt;td&gt; - &lt;/td&gt;&lt;td&gt;&lt;/td&gt;&lt;td&gt;West Bromwich Albion FC&lt;/td&gt;&lt;/tr&gt;</v>
      </c>
      <c r="B131" t="s">
        <v>718</v>
      </c>
      <c r="C131" t="s">
        <v>682</v>
      </c>
      <c r="D131" t="s">
        <v>651</v>
      </c>
      <c r="E131" t="s">
        <v>152</v>
      </c>
      <c r="F131" t="s">
        <v>651</v>
      </c>
      <c r="G131" s="3" t="s">
        <v>476</v>
      </c>
      <c r="H131" t="s">
        <v>651</v>
      </c>
      <c r="I131" t="s">
        <v>553</v>
      </c>
      <c r="J131" t="s">
        <v>651</v>
      </c>
      <c r="K131" t="s">
        <v>478</v>
      </c>
      <c r="L131" t="s">
        <v>651</v>
      </c>
      <c r="M131" t="s">
        <v>476</v>
      </c>
      <c r="N131" t="s">
        <v>651</v>
      </c>
      <c r="O131" t="s">
        <v>497</v>
      </c>
      <c r="P131" t="s">
        <v>719</v>
      </c>
    </row>
    <row r="132" spans="1:16">
      <c r="A132" t="str">
        <f t="shared" si="2"/>
        <v>&lt;tr&gt;&lt;td&gt;2020-Dec-19&lt;/td&gt;&lt;td&gt;Matchday 14&lt;/td&gt;&lt;td&gt;&lt;/td&gt;&lt;td&gt;Brighton and Hove Albion FC &lt;/td&gt;&lt;td&gt; - &lt;/td&gt;&lt;td&gt;&lt;/td&gt;&lt;td&gt;Sheffield United FC&lt;/td&gt;&lt;/tr&gt;</v>
      </c>
      <c r="B132" t="s">
        <v>718</v>
      </c>
      <c r="C132" t="s">
        <v>699</v>
      </c>
      <c r="D132" t="s">
        <v>651</v>
      </c>
      <c r="E132" t="s">
        <v>165</v>
      </c>
      <c r="F132" t="s">
        <v>651</v>
      </c>
      <c r="G132" s="3" t="s">
        <v>476</v>
      </c>
      <c r="H132" t="s">
        <v>651</v>
      </c>
      <c r="I132" t="s">
        <v>654</v>
      </c>
      <c r="J132" t="s">
        <v>651</v>
      </c>
      <c r="K132" t="s">
        <v>478</v>
      </c>
      <c r="L132" t="s">
        <v>651</v>
      </c>
      <c r="M132" t="s">
        <v>476</v>
      </c>
      <c r="N132" t="s">
        <v>651</v>
      </c>
      <c r="O132" t="s">
        <v>501</v>
      </c>
      <c r="P132" t="s">
        <v>719</v>
      </c>
    </row>
    <row r="133" spans="1:16">
      <c r="A133" t="str">
        <f t="shared" si="2"/>
        <v>&lt;tr&gt;&lt;td&gt;2020-Dec-19&lt;/td&gt;&lt;td&gt;Matchday 14&lt;/td&gt;&lt;td&gt;&lt;/td&gt;&lt;td&gt;Burnley FC &lt;/td&gt;&lt;td&gt; - &lt;/td&gt;&lt;td&gt;&lt;/td&gt;&lt;td&gt;Wolverhampton Wanderers FC&lt;/td&gt;&lt;/tr&gt;</v>
      </c>
      <c r="B133" t="s">
        <v>718</v>
      </c>
      <c r="C133" t="s">
        <v>699</v>
      </c>
      <c r="D133" t="s">
        <v>651</v>
      </c>
      <c r="E133" t="s">
        <v>165</v>
      </c>
      <c r="F133" t="s">
        <v>651</v>
      </c>
      <c r="G133" s="3" t="s">
        <v>476</v>
      </c>
      <c r="H133" t="s">
        <v>651</v>
      </c>
      <c r="I133" t="s">
        <v>477</v>
      </c>
      <c r="J133" t="s">
        <v>651</v>
      </c>
      <c r="K133" t="s">
        <v>478</v>
      </c>
      <c r="L133" t="s">
        <v>651</v>
      </c>
      <c r="M133" t="s">
        <v>476</v>
      </c>
      <c r="N133" t="s">
        <v>651</v>
      </c>
      <c r="O133" t="s">
        <v>502</v>
      </c>
      <c r="P133" t="s">
        <v>719</v>
      </c>
    </row>
    <row r="134" spans="1:16">
      <c r="A134" t="str">
        <f t="shared" si="2"/>
        <v>&lt;tr&gt;&lt;td&gt;2020-Dec-19&lt;/td&gt;&lt;td&gt;Matchday 14&lt;/td&gt;&lt;td&gt;&lt;/td&gt;&lt;td&gt;Chelsea FC &lt;/td&gt;&lt;td&gt; - &lt;/td&gt;&lt;td&gt;&lt;/td&gt;&lt;td&gt;West Ham United FC&lt;/td&gt;&lt;/tr&gt;</v>
      </c>
      <c r="B134" t="s">
        <v>718</v>
      </c>
      <c r="C134" t="s">
        <v>699</v>
      </c>
      <c r="D134" t="s">
        <v>651</v>
      </c>
      <c r="E134" t="s">
        <v>165</v>
      </c>
      <c r="F134" t="s">
        <v>651</v>
      </c>
      <c r="G134" s="3" t="s">
        <v>476</v>
      </c>
      <c r="H134" t="s">
        <v>651</v>
      </c>
      <c r="I134" t="s">
        <v>528</v>
      </c>
      <c r="J134" t="s">
        <v>651</v>
      </c>
      <c r="K134" t="s">
        <v>478</v>
      </c>
      <c r="L134" t="s">
        <v>651</v>
      </c>
      <c r="M134" t="s">
        <v>476</v>
      </c>
      <c r="N134" t="s">
        <v>651</v>
      </c>
      <c r="O134" t="s">
        <v>493</v>
      </c>
      <c r="P134" t="s">
        <v>719</v>
      </c>
    </row>
    <row r="135" spans="1:16">
      <c r="A135" t="str">
        <f t="shared" si="2"/>
        <v>&lt;tr&gt;&lt;td&gt;2020-Dec-19&lt;/td&gt;&lt;td&gt;Matchday 14&lt;/td&gt;&lt;td&gt;&lt;/td&gt;&lt;td&gt;Crystal Palace FC &lt;/td&gt;&lt;td&gt; - &lt;/td&gt;&lt;td&gt;&lt;/td&gt;&lt;td&gt;Liverpool FC&lt;/td&gt;&lt;/tr&gt;</v>
      </c>
      <c r="B135" t="s">
        <v>718</v>
      </c>
      <c r="C135" t="s">
        <v>699</v>
      </c>
      <c r="D135" t="s">
        <v>651</v>
      </c>
      <c r="E135" t="s">
        <v>165</v>
      </c>
      <c r="F135" t="s">
        <v>651</v>
      </c>
      <c r="G135" s="3" t="s">
        <v>476</v>
      </c>
      <c r="H135" t="s">
        <v>651</v>
      </c>
      <c r="I135" t="s">
        <v>529</v>
      </c>
      <c r="J135" t="s">
        <v>651</v>
      </c>
      <c r="K135" t="s">
        <v>478</v>
      </c>
      <c r="L135" t="s">
        <v>651</v>
      </c>
      <c r="M135" t="s">
        <v>476</v>
      </c>
      <c r="N135" t="s">
        <v>651</v>
      </c>
      <c r="O135" t="s">
        <v>489</v>
      </c>
      <c r="P135" t="s">
        <v>719</v>
      </c>
    </row>
    <row r="136" spans="1:16">
      <c r="A136" t="str">
        <f t="shared" si="2"/>
        <v>&lt;tr&gt;&lt;td&gt;2020-Dec-19&lt;/td&gt;&lt;td&gt;Matchday 14&lt;/td&gt;&lt;td&gt;&lt;/td&gt;&lt;td&gt;Everton FC &lt;/td&gt;&lt;td&gt; - &lt;/td&gt;&lt;td&gt;&lt;/td&gt;&lt;td&gt;Arsenal FC&lt;/td&gt;&lt;/tr&gt;</v>
      </c>
      <c r="B136" t="s">
        <v>718</v>
      </c>
      <c r="C136" t="s">
        <v>699</v>
      </c>
      <c r="D136" t="s">
        <v>651</v>
      </c>
      <c r="E136" t="s">
        <v>165</v>
      </c>
      <c r="F136" t="s">
        <v>651</v>
      </c>
      <c r="G136" s="3" t="s">
        <v>476</v>
      </c>
      <c r="H136" t="s">
        <v>651</v>
      </c>
      <c r="I136" t="s">
        <v>530</v>
      </c>
      <c r="J136" t="s">
        <v>651</v>
      </c>
      <c r="K136" t="s">
        <v>478</v>
      </c>
      <c r="L136" t="s">
        <v>651</v>
      </c>
      <c r="M136" t="s">
        <v>476</v>
      </c>
      <c r="N136" t="s">
        <v>651</v>
      </c>
      <c r="O136" t="s">
        <v>485</v>
      </c>
      <c r="P136" t="s">
        <v>719</v>
      </c>
    </row>
    <row r="137" spans="1:16">
      <c r="A137" t="str">
        <f t="shared" si="2"/>
        <v>&lt;tr&gt;&lt;td&gt;2020-Dec-19&lt;/td&gt;&lt;td&gt;Matchday 14&lt;/td&gt;&lt;td&gt;&lt;/td&gt;&lt;td&gt;Manchester United    &lt;/td&gt;&lt;td&gt; - &lt;/td&gt;&lt;td&gt;&lt;/td&gt;&lt;td&gt;Leeds United FC&lt;/td&gt;&lt;/tr&gt;</v>
      </c>
      <c r="B137" t="s">
        <v>718</v>
      </c>
      <c r="C137" t="s">
        <v>699</v>
      </c>
      <c r="D137" t="s">
        <v>651</v>
      </c>
      <c r="E137" t="s">
        <v>165</v>
      </c>
      <c r="F137" t="s">
        <v>651</v>
      </c>
      <c r="G137" s="3" t="s">
        <v>476</v>
      </c>
      <c r="H137" t="s">
        <v>651</v>
      </c>
      <c r="I137" t="s">
        <v>541</v>
      </c>
      <c r="J137" t="s">
        <v>651</v>
      </c>
      <c r="K137" t="s">
        <v>478</v>
      </c>
      <c r="L137" t="s">
        <v>651</v>
      </c>
      <c r="M137" t="s">
        <v>476</v>
      </c>
      <c r="N137" t="s">
        <v>651</v>
      </c>
      <c r="O137" t="s">
        <v>492</v>
      </c>
      <c r="P137" t="s">
        <v>719</v>
      </c>
    </row>
    <row r="138" spans="1:16">
      <c r="A138" t="str">
        <f t="shared" si="2"/>
        <v>&lt;tr&gt;&lt;td&gt;2020-Dec-19&lt;/td&gt;&lt;td&gt;Matchday 14&lt;/td&gt;&lt;td&gt;&lt;/td&gt;&lt;td&gt;Newcastle United FC &lt;/td&gt;&lt;td&gt; - &lt;/td&gt;&lt;td&gt;&lt;/td&gt;&lt;td&gt;Fulham FC&lt;/td&gt;&lt;/tr&gt;</v>
      </c>
      <c r="B138" t="s">
        <v>718</v>
      </c>
      <c r="C138" t="s">
        <v>699</v>
      </c>
      <c r="D138" t="s">
        <v>651</v>
      </c>
      <c r="E138" t="s">
        <v>165</v>
      </c>
      <c r="F138" t="s">
        <v>651</v>
      </c>
      <c r="G138" s="3" t="s">
        <v>476</v>
      </c>
      <c r="H138" t="s">
        <v>651</v>
      </c>
      <c r="I138" t="s">
        <v>533</v>
      </c>
      <c r="J138" t="s">
        <v>651</v>
      </c>
      <c r="K138" t="s">
        <v>478</v>
      </c>
      <c r="L138" t="s">
        <v>651</v>
      </c>
      <c r="M138" t="s">
        <v>476</v>
      </c>
      <c r="N138" t="s">
        <v>651</v>
      </c>
      <c r="O138" t="s">
        <v>482</v>
      </c>
      <c r="P138" t="s">
        <v>719</v>
      </c>
    </row>
    <row r="139" spans="1:16">
      <c r="A139" t="str">
        <f t="shared" si="2"/>
        <v>&lt;tr&gt;&lt;td&gt;2020-Dec-19&lt;/td&gt;&lt;td&gt;Matchday 14&lt;/td&gt;&lt;td&gt;&lt;/td&gt;&lt;td&gt;Southampton FC &lt;/td&gt;&lt;td&gt; - &lt;/td&gt;&lt;td&gt;&lt;/td&gt;&lt;td&gt;Manchester City FC&lt;/td&gt;&lt;/tr&gt;</v>
      </c>
      <c r="B139" t="s">
        <v>718</v>
      </c>
      <c r="C139" t="s">
        <v>699</v>
      </c>
      <c r="D139" t="s">
        <v>651</v>
      </c>
      <c r="E139" t="s">
        <v>165</v>
      </c>
      <c r="F139" t="s">
        <v>651</v>
      </c>
      <c r="G139" s="3" t="s">
        <v>476</v>
      </c>
      <c r="H139" t="s">
        <v>651</v>
      </c>
      <c r="I139" t="s">
        <v>542</v>
      </c>
      <c r="J139" t="s">
        <v>651</v>
      </c>
      <c r="K139" t="s">
        <v>478</v>
      </c>
      <c r="L139" t="s">
        <v>651</v>
      </c>
      <c r="M139" t="s">
        <v>476</v>
      </c>
      <c r="N139" t="s">
        <v>651</v>
      </c>
      <c r="O139" t="s">
        <v>512</v>
      </c>
      <c r="P139" t="s">
        <v>719</v>
      </c>
    </row>
    <row r="140" spans="1:16">
      <c r="A140" t="str">
        <f t="shared" si="2"/>
        <v>&lt;tr&gt;&lt;td&gt;2020-Dec-19&lt;/td&gt;&lt;td&gt;Matchday 14&lt;/td&gt;&lt;td&gt;&lt;/td&gt;&lt;td&gt;Tottenham Hotspur FC &lt;/td&gt;&lt;td&gt; - &lt;/td&gt;&lt;td&gt;&lt;/td&gt;&lt;td&gt;Leicester City FC&lt;/td&gt;&lt;/tr&gt;</v>
      </c>
      <c r="B140" t="s">
        <v>718</v>
      </c>
      <c r="C140" t="s">
        <v>699</v>
      </c>
      <c r="D140" t="s">
        <v>651</v>
      </c>
      <c r="E140" t="s">
        <v>165</v>
      </c>
      <c r="F140" t="s">
        <v>651</v>
      </c>
      <c r="G140" s="3" t="s">
        <v>476</v>
      </c>
      <c r="H140" t="s">
        <v>651</v>
      </c>
      <c r="I140" t="s">
        <v>535</v>
      </c>
      <c r="J140" t="s">
        <v>651</v>
      </c>
      <c r="K140" t="s">
        <v>478</v>
      </c>
      <c r="L140" t="s">
        <v>651</v>
      </c>
      <c r="M140" t="s">
        <v>476</v>
      </c>
      <c r="N140" t="s">
        <v>651</v>
      </c>
      <c r="O140" t="s">
        <v>498</v>
      </c>
      <c r="P140" t="s">
        <v>719</v>
      </c>
    </row>
    <row r="141" spans="1:16">
      <c r="A141" t="str">
        <f t="shared" si="2"/>
        <v>&lt;tr&gt;&lt;td&gt;2020-Dec-19&lt;/td&gt;&lt;td&gt;Matchday 14&lt;/td&gt;&lt;td&gt;&lt;/td&gt;&lt;td&gt;West Bromwich Albion FC &lt;/td&gt;&lt;td&gt; - &lt;/td&gt;&lt;td&gt;&lt;/td&gt;&lt;td&gt;Aston Villa FC&lt;/td&gt;&lt;/tr&gt;</v>
      </c>
      <c r="B141" t="s">
        <v>718</v>
      </c>
      <c r="C141" t="s">
        <v>699</v>
      </c>
      <c r="D141" t="s">
        <v>651</v>
      </c>
      <c r="E141" t="s">
        <v>165</v>
      </c>
      <c r="F141" t="s">
        <v>651</v>
      </c>
      <c r="G141" s="3" t="s">
        <v>476</v>
      </c>
      <c r="H141" t="s">
        <v>651</v>
      </c>
      <c r="I141" t="s">
        <v>536</v>
      </c>
      <c r="J141" t="s">
        <v>651</v>
      </c>
      <c r="K141" t="s">
        <v>478</v>
      </c>
      <c r="L141" t="s">
        <v>651</v>
      </c>
      <c r="M141" t="s">
        <v>476</v>
      </c>
      <c r="N141" t="s">
        <v>651</v>
      </c>
      <c r="O141" t="s">
        <v>481</v>
      </c>
      <c r="P141" t="s">
        <v>719</v>
      </c>
    </row>
    <row r="142" spans="1:16">
      <c r="A142" t="str">
        <f t="shared" si="2"/>
        <v>&lt;tr&gt;&lt;td&gt;2020-Dec-26&lt;/td&gt;&lt;td&gt;Matchday 15&lt;/td&gt;&lt;td&gt;&lt;/td&gt;&lt;td&gt;Arsenal FC &lt;/td&gt;&lt;td&gt; - &lt;/td&gt;&lt;td&gt;&lt;/td&gt;&lt;td&gt;Chelsea FC&lt;/td&gt;&lt;/tr&gt;</v>
      </c>
      <c r="B142" t="s">
        <v>718</v>
      </c>
      <c r="C142" t="s">
        <v>700</v>
      </c>
      <c r="D142" t="s">
        <v>651</v>
      </c>
      <c r="E142" t="s">
        <v>177</v>
      </c>
      <c r="F142" t="s">
        <v>651</v>
      </c>
      <c r="G142" s="3" t="s">
        <v>476</v>
      </c>
      <c r="H142" t="s">
        <v>651</v>
      </c>
      <c r="I142" t="s">
        <v>537</v>
      </c>
      <c r="J142" t="s">
        <v>651</v>
      </c>
      <c r="K142" t="s">
        <v>478</v>
      </c>
      <c r="L142" t="s">
        <v>651</v>
      </c>
      <c r="M142" t="s">
        <v>476</v>
      </c>
      <c r="N142" t="s">
        <v>651</v>
      </c>
      <c r="O142" t="s">
        <v>504</v>
      </c>
      <c r="P142" t="s">
        <v>719</v>
      </c>
    </row>
    <row r="143" spans="1:16">
      <c r="A143" t="str">
        <f t="shared" si="2"/>
        <v>&lt;tr&gt;&lt;td&gt;2020-Dec-26&lt;/td&gt;&lt;td&gt;Matchday 15&lt;/td&gt;&lt;td&gt;&lt;/td&gt;&lt;td&gt;Aston Villa FC &lt;/td&gt;&lt;td&gt; - &lt;/td&gt;&lt;td&gt;&lt;/td&gt;&lt;td&gt;Crystal Palace FC&lt;/td&gt;&lt;/tr&gt;</v>
      </c>
      <c r="B143" t="s">
        <v>718</v>
      </c>
      <c r="C143" t="s">
        <v>700</v>
      </c>
      <c r="D143" t="s">
        <v>651</v>
      </c>
      <c r="E143" t="s">
        <v>177</v>
      </c>
      <c r="F143" t="s">
        <v>651</v>
      </c>
      <c r="G143" s="3" t="s">
        <v>476</v>
      </c>
      <c r="H143" t="s">
        <v>651</v>
      </c>
      <c r="I143" t="s">
        <v>538</v>
      </c>
      <c r="J143" t="s">
        <v>651</v>
      </c>
      <c r="K143" t="s">
        <v>478</v>
      </c>
      <c r="L143" t="s">
        <v>651</v>
      </c>
      <c r="M143" t="s">
        <v>476</v>
      </c>
      <c r="N143" t="s">
        <v>651</v>
      </c>
      <c r="O143" t="s">
        <v>486</v>
      </c>
      <c r="P143" t="s">
        <v>719</v>
      </c>
    </row>
    <row r="144" spans="1:16">
      <c r="A144" t="str">
        <f t="shared" si="2"/>
        <v>&lt;tr&gt;&lt;td&gt;2020-Dec-26&lt;/td&gt;&lt;td&gt;Matchday 15&lt;/td&gt;&lt;td&gt;&lt;/td&gt;&lt;td&gt;Fulham FC &lt;/td&gt;&lt;td&gt; - &lt;/td&gt;&lt;td&gt;&lt;/td&gt;&lt;td&gt;Southampton FC&lt;/td&gt;&lt;/tr&gt;</v>
      </c>
      <c r="B144" t="s">
        <v>718</v>
      </c>
      <c r="C144" t="s">
        <v>700</v>
      </c>
      <c r="D144" t="s">
        <v>651</v>
      </c>
      <c r="E144" t="s">
        <v>177</v>
      </c>
      <c r="F144" t="s">
        <v>651</v>
      </c>
      <c r="G144" s="3" t="s">
        <v>476</v>
      </c>
      <c r="H144" t="s">
        <v>651</v>
      </c>
      <c r="I144" t="s">
        <v>539</v>
      </c>
      <c r="J144" t="s">
        <v>651</v>
      </c>
      <c r="K144" t="s">
        <v>478</v>
      </c>
      <c r="L144" t="s">
        <v>651</v>
      </c>
      <c r="M144" t="s">
        <v>476</v>
      </c>
      <c r="N144" t="s">
        <v>651</v>
      </c>
      <c r="O144" t="s">
        <v>488</v>
      </c>
      <c r="P144" t="s">
        <v>719</v>
      </c>
    </row>
    <row r="145" spans="1:16">
      <c r="A145" t="str">
        <f t="shared" si="2"/>
        <v>&lt;tr&gt;&lt;td&gt;2020-Dec-26&lt;/td&gt;&lt;td&gt;Matchday 15&lt;/td&gt;&lt;td&gt;&lt;/td&gt;&lt;td&gt;Leeds United FC &lt;/td&gt;&lt;td&gt; - &lt;/td&gt;&lt;td&gt;&lt;/td&gt;&lt;td&gt;Burnley FC&lt;/td&gt;&lt;/tr&gt;</v>
      </c>
      <c r="B145" t="s">
        <v>718</v>
      </c>
      <c r="C145" t="s">
        <v>700</v>
      </c>
      <c r="D145" t="s">
        <v>651</v>
      </c>
      <c r="E145" t="s">
        <v>177</v>
      </c>
      <c r="F145" t="s">
        <v>651</v>
      </c>
      <c r="G145" s="3" t="s">
        <v>476</v>
      </c>
      <c r="H145" t="s">
        <v>651</v>
      </c>
      <c r="I145" t="s">
        <v>531</v>
      </c>
      <c r="J145" t="s">
        <v>651</v>
      </c>
      <c r="K145" t="s">
        <v>478</v>
      </c>
      <c r="L145" t="s">
        <v>651</v>
      </c>
      <c r="M145" t="s">
        <v>476</v>
      </c>
      <c r="N145" t="s">
        <v>651</v>
      </c>
      <c r="O145" t="s">
        <v>511</v>
      </c>
      <c r="P145" t="s">
        <v>719</v>
      </c>
    </row>
    <row r="146" spans="1:16">
      <c r="A146" t="str">
        <f t="shared" si="2"/>
        <v>&lt;tr&gt;&lt;td&gt;2020-Dec-26&lt;/td&gt;&lt;td&gt;Matchday 15&lt;/td&gt;&lt;td&gt;&lt;/td&gt;&lt;td&gt;Leicester City FC &lt;/td&gt;&lt;td&gt; - &lt;/td&gt;&lt;td&gt;&lt;/td&gt;&lt;td&gt;Manchester United&lt;/td&gt;&lt;/tr&gt;</v>
      </c>
      <c r="B146" t="s">
        <v>718</v>
      </c>
      <c r="C146" t="s">
        <v>700</v>
      </c>
      <c r="D146" t="s">
        <v>651</v>
      </c>
      <c r="E146" t="s">
        <v>177</v>
      </c>
      <c r="F146" t="s">
        <v>651</v>
      </c>
      <c r="G146" s="3" t="s">
        <v>476</v>
      </c>
      <c r="H146" t="s">
        <v>651</v>
      </c>
      <c r="I146" t="s">
        <v>532</v>
      </c>
      <c r="J146" t="s">
        <v>651</v>
      </c>
      <c r="K146" t="s">
        <v>478</v>
      </c>
      <c r="L146" t="s">
        <v>651</v>
      </c>
      <c r="M146" t="s">
        <v>476</v>
      </c>
      <c r="N146" t="s">
        <v>651</v>
      </c>
      <c r="O146" t="s">
        <v>479</v>
      </c>
      <c r="P146" t="s">
        <v>719</v>
      </c>
    </row>
    <row r="147" spans="1:16">
      <c r="A147" t="str">
        <f t="shared" si="2"/>
        <v>&lt;tr&gt;&lt;td&gt;2020-Dec-26&lt;/td&gt;&lt;td&gt;Matchday 15&lt;/td&gt;&lt;td&gt;&lt;/td&gt;&lt;td&gt;Liverpool FC &lt;/td&gt;&lt;td&gt; - &lt;/td&gt;&lt;td&gt;&lt;/td&gt;&lt;td&gt;West Bromwich Albion FC&lt;/td&gt;&lt;/tr&gt;</v>
      </c>
      <c r="B147" t="s">
        <v>718</v>
      </c>
      <c r="C147" t="s">
        <v>700</v>
      </c>
      <c r="D147" t="s">
        <v>651</v>
      </c>
      <c r="E147" t="s">
        <v>177</v>
      </c>
      <c r="F147" t="s">
        <v>651</v>
      </c>
      <c r="G147" s="3" t="s">
        <v>476</v>
      </c>
      <c r="H147" t="s">
        <v>651</v>
      </c>
      <c r="I147" t="s">
        <v>540</v>
      </c>
      <c r="J147" t="s">
        <v>651</v>
      </c>
      <c r="K147" t="s">
        <v>478</v>
      </c>
      <c r="L147" t="s">
        <v>651</v>
      </c>
      <c r="M147" t="s">
        <v>476</v>
      </c>
      <c r="N147" t="s">
        <v>651</v>
      </c>
      <c r="O147" t="s">
        <v>497</v>
      </c>
      <c r="P147" t="s">
        <v>719</v>
      </c>
    </row>
    <row r="148" spans="1:16">
      <c r="A148" t="str">
        <f t="shared" si="2"/>
        <v>&lt;tr&gt;&lt;td&gt;2020-Dec-26&lt;/td&gt;&lt;td&gt;Matchday 15&lt;/td&gt;&lt;td&gt;&lt;/td&gt;&lt;td&gt;Manchester City FC &lt;/td&gt;&lt;td&gt; - &lt;/td&gt;&lt;td&gt;&lt;/td&gt;&lt;td&gt;Newcastle United FC&lt;/td&gt;&lt;/tr&gt;</v>
      </c>
      <c r="B148" t="s">
        <v>718</v>
      </c>
      <c r="C148" t="s">
        <v>700</v>
      </c>
      <c r="D148" t="s">
        <v>651</v>
      </c>
      <c r="E148" t="s">
        <v>177</v>
      </c>
      <c r="F148" t="s">
        <v>651</v>
      </c>
      <c r="G148" s="3" t="s">
        <v>476</v>
      </c>
      <c r="H148" t="s">
        <v>651</v>
      </c>
      <c r="I148" t="s">
        <v>480</v>
      </c>
      <c r="J148" t="s">
        <v>651</v>
      </c>
      <c r="K148" t="s">
        <v>478</v>
      </c>
      <c r="L148" t="s">
        <v>651</v>
      </c>
      <c r="M148" t="s">
        <v>476</v>
      </c>
      <c r="N148" t="s">
        <v>651</v>
      </c>
      <c r="O148" t="s">
        <v>496</v>
      </c>
      <c r="P148" t="s">
        <v>719</v>
      </c>
    </row>
    <row r="149" spans="1:16">
      <c r="A149" t="str">
        <f t="shared" si="2"/>
        <v>&lt;tr&gt;&lt;td&gt;2020-Dec-26&lt;/td&gt;&lt;td&gt;Matchday 15&lt;/td&gt;&lt;td&gt;&lt;/td&gt;&lt;td&gt;Sheffield United FC &lt;/td&gt;&lt;td&gt; - &lt;/td&gt;&lt;td&gt;&lt;/td&gt;&lt;td&gt;Everton FC&lt;/td&gt;&lt;/tr&gt;</v>
      </c>
      <c r="B149" t="s">
        <v>718</v>
      </c>
      <c r="C149" t="s">
        <v>700</v>
      </c>
      <c r="D149" t="s">
        <v>651</v>
      </c>
      <c r="E149" t="s">
        <v>177</v>
      </c>
      <c r="F149" t="s">
        <v>651</v>
      </c>
      <c r="G149" s="3" t="s">
        <v>476</v>
      </c>
      <c r="H149" t="s">
        <v>651</v>
      </c>
      <c r="I149" t="s">
        <v>534</v>
      </c>
      <c r="J149" t="s">
        <v>651</v>
      </c>
      <c r="K149" t="s">
        <v>478</v>
      </c>
      <c r="L149" t="s">
        <v>651</v>
      </c>
      <c r="M149" t="s">
        <v>476</v>
      </c>
      <c r="N149" t="s">
        <v>651</v>
      </c>
      <c r="O149" t="s">
        <v>500</v>
      </c>
      <c r="P149" t="s">
        <v>719</v>
      </c>
    </row>
    <row r="150" spans="1:16">
      <c r="A150" t="str">
        <f t="shared" si="2"/>
        <v>&lt;tr&gt;&lt;td&gt;2020-Dec-26&lt;/td&gt;&lt;td&gt;Matchday 15&lt;/td&gt;&lt;td&gt;&lt;/td&gt;&lt;td&gt;West Ham United FC &lt;/td&gt;&lt;td&gt; - &lt;/td&gt;&lt;td&gt;&lt;/td&gt;&lt;td&gt;Brighton and Hove Albion FC&lt;/td&gt;&lt;/tr&gt;</v>
      </c>
      <c r="B150" t="s">
        <v>718</v>
      </c>
      <c r="C150" t="s">
        <v>700</v>
      </c>
      <c r="D150" t="s">
        <v>651</v>
      </c>
      <c r="E150" t="s">
        <v>177</v>
      </c>
      <c r="F150" t="s">
        <v>651</v>
      </c>
      <c r="G150" s="3" t="s">
        <v>476</v>
      </c>
      <c r="H150" t="s">
        <v>651</v>
      </c>
      <c r="I150" t="s">
        <v>543</v>
      </c>
      <c r="J150" t="s">
        <v>651</v>
      </c>
      <c r="K150" t="s">
        <v>478</v>
      </c>
      <c r="L150" t="s">
        <v>651</v>
      </c>
      <c r="M150" t="s">
        <v>476</v>
      </c>
      <c r="N150" t="s">
        <v>651</v>
      </c>
      <c r="O150" t="s">
        <v>652</v>
      </c>
      <c r="P150" t="s">
        <v>719</v>
      </c>
    </row>
    <row r="151" spans="1:16">
      <c r="A151" t="str">
        <f t="shared" si="2"/>
        <v>&lt;tr&gt;&lt;td&gt;2020-Dec-26&lt;/td&gt;&lt;td&gt;Matchday 15&lt;/td&gt;&lt;td&gt;&lt;/td&gt;&lt;td&gt;Wolverhampton Wanderers FC &lt;/td&gt;&lt;td&gt; - &lt;/td&gt;&lt;td&gt;&lt;/td&gt;&lt;td&gt;Tottenham Hotspur FC&lt;/td&gt;&lt;/tr&gt;</v>
      </c>
      <c r="B151" t="s">
        <v>718</v>
      </c>
      <c r="C151" t="s">
        <v>700</v>
      </c>
      <c r="D151" t="s">
        <v>651</v>
      </c>
      <c r="E151" t="s">
        <v>177</v>
      </c>
      <c r="F151" t="s">
        <v>651</v>
      </c>
      <c r="G151" s="3" t="s">
        <v>476</v>
      </c>
      <c r="H151" t="s">
        <v>651</v>
      </c>
      <c r="I151" t="s">
        <v>544</v>
      </c>
      <c r="J151" t="s">
        <v>651</v>
      </c>
      <c r="K151" t="s">
        <v>478</v>
      </c>
      <c r="L151" t="s">
        <v>651</v>
      </c>
      <c r="M151" t="s">
        <v>476</v>
      </c>
      <c r="N151" t="s">
        <v>651</v>
      </c>
      <c r="O151" t="s">
        <v>499</v>
      </c>
      <c r="P151" t="s">
        <v>719</v>
      </c>
    </row>
    <row r="152" spans="1:16">
      <c r="A152" t="str">
        <f t="shared" si="2"/>
        <v>&lt;tr&gt;&lt;td&gt;2020-Dec-28&lt;/td&gt;&lt;td&gt;Matchday 16&lt;/td&gt;&lt;td&gt;&lt;/td&gt;&lt;td&gt;Brighton and Hove Albion FC &lt;/td&gt;&lt;td&gt; - &lt;/td&gt;&lt;td&gt;&lt;/td&gt;&lt;td&gt;Arsenal FC&lt;/td&gt;&lt;/tr&gt;</v>
      </c>
      <c r="B152" t="s">
        <v>718</v>
      </c>
      <c r="C152" t="s">
        <v>673</v>
      </c>
      <c r="D152" t="s">
        <v>651</v>
      </c>
      <c r="E152" t="s">
        <v>189</v>
      </c>
      <c r="F152" t="s">
        <v>651</v>
      </c>
      <c r="G152" s="3" t="s">
        <v>476</v>
      </c>
      <c r="H152" t="s">
        <v>651</v>
      </c>
      <c r="I152" t="s">
        <v>654</v>
      </c>
      <c r="J152" t="s">
        <v>651</v>
      </c>
      <c r="K152" t="s">
        <v>478</v>
      </c>
      <c r="L152" t="s">
        <v>651</v>
      </c>
      <c r="M152" t="s">
        <v>476</v>
      </c>
      <c r="N152" t="s">
        <v>651</v>
      </c>
      <c r="O152" t="s">
        <v>485</v>
      </c>
      <c r="P152" t="s">
        <v>719</v>
      </c>
    </row>
    <row r="153" spans="1:16">
      <c r="A153" t="str">
        <f t="shared" si="2"/>
        <v>&lt;tr&gt;&lt;td&gt;2020-Dec-28&lt;/td&gt;&lt;td&gt;Matchday 16&lt;/td&gt;&lt;td&gt;&lt;/td&gt;&lt;td&gt;Burnley FC &lt;/td&gt;&lt;td&gt; - &lt;/td&gt;&lt;td&gt;&lt;/td&gt;&lt;td&gt;Sheffield United FC&lt;/td&gt;&lt;/tr&gt;</v>
      </c>
      <c r="B153" t="s">
        <v>718</v>
      </c>
      <c r="C153" t="s">
        <v>673</v>
      </c>
      <c r="D153" t="s">
        <v>651</v>
      </c>
      <c r="E153" t="s">
        <v>189</v>
      </c>
      <c r="F153" t="s">
        <v>651</v>
      </c>
      <c r="G153" s="3" t="s">
        <v>476</v>
      </c>
      <c r="H153" t="s">
        <v>651</v>
      </c>
      <c r="I153" t="s">
        <v>477</v>
      </c>
      <c r="J153" t="s">
        <v>651</v>
      </c>
      <c r="K153" t="s">
        <v>478</v>
      </c>
      <c r="L153" t="s">
        <v>651</v>
      </c>
      <c r="M153" t="s">
        <v>476</v>
      </c>
      <c r="N153" t="s">
        <v>651</v>
      </c>
      <c r="O153" t="s">
        <v>501</v>
      </c>
      <c r="P153" t="s">
        <v>719</v>
      </c>
    </row>
    <row r="154" spans="1:16">
      <c r="A154" t="str">
        <f t="shared" si="2"/>
        <v>&lt;tr&gt;&lt;td&gt;2020-Dec-28&lt;/td&gt;&lt;td&gt;Matchday 16&lt;/td&gt;&lt;td&gt;&lt;/td&gt;&lt;td&gt;Chelsea FC &lt;/td&gt;&lt;td&gt; - &lt;/td&gt;&lt;td&gt;&lt;/td&gt;&lt;td&gt;Aston Villa FC&lt;/td&gt;&lt;/tr&gt;</v>
      </c>
      <c r="B154" t="s">
        <v>718</v>
      </c>
      <c r="C154" t="s">
        <v>673</v>
      </c>
      <c r="D154" t="s">
        <v>651</v>
      </c>
      <c r="E154" t="s">
        <v>189</v>
      </c>
      <c r="F154" t="s">
        <v>651</v>
      </c>
      <c r="G154" s="3" t="s">
        <v>476</v>
      </c>
      <c r="H154" t="s">
        <v>651</v>
      </c>
      <c r="I154" t="s">
        <v>528</v>
      </c>
      <c r="J154" t="s">
        <v>651</v>
      </c>
      <c r="K154" t="s">
        <v>478</v>
      </c>
      <c r="L154" t="s">
        <v>651</v>
      </c>
      <c r="M154" t="s">
        <v>476</v>
      </c>
      <c r="N154" t="s">
        <v>651</v>
      </c>
      <c r="O154" t="s">
        <v>481</v>
      </c>
      <c r="P154" t="s">
        <v>719</v>
      </c>
    </row>
    <row r="155" spans="1:16">
      <c r="A155" t="str">
        <f t="shared" si="2"/>
        <v>&lt;tr&gt;&lt;td&gt;2020-Dec-28&lt;/td&gt;&lt;td&gt;Matchday 16&lt;/td&gt;&lt;td&gt;&lt;/td&gt;&lt;td&gt;Crystal Palace FC &lt;/td&gt;&lt;td&gt; - &lt;/td&gt;&lt;td&gt;&lt;/td&gt;&lt;td&gt;Leicester City FC&lt;/td&gt;&lt;/tr&gt;</v>
      </c>
      <c r="B155" t="s">
        <v>718</v>
      </c>
      <c r="C155" t="s">
        <v>673</v>
      </c>
      <c r="D155" t="s">
        <v>651</v>
      </c>
      <c r="E155" t="s">
        <v>189</v>
      </c>
      <c r="F155" t="s">
        <v>651</v>
      </c>
      <c r="G155" s="3" t="s">
        <v>476</v>
      </c>
      <c r="H155" t="s">
        <v>651</v>
      </c>
      <c r="I155" t="s">
        <v>529</v>
      </c>
      <c r="J155" t="s">
        <v>651</v>
      </c>
      <c r="K155" t="s">
        <v>478</v>
      </c>
      <c r="L155" t="s">
        <v>651</v>
      </c>
      <c r="M155" t="s">
        <v>476</v>
      </c>
      <c r="N155" t="s">
        <v>651</v>
      </c>
      <c r="O155" t="s">
        <v>498</v>
      </c>
      <c r="P155" t="s">
        <v>719</v>
      </c>
    </row>
    <row r="156" spans="1:16">
      <c r="A156" t="str">
        <f t="shared" si="2"/>
        <v>&lt;tr&gt;&lt;td&gt;2020-Dec-28&lt;/td&gt;&lt;td&gt;Matchday 16&lt;/td&gt;&lt;td&gt;&lt;/td&gt;&lt;td&gt;Everton FC &lt;/td&gt;&lt;td&gt; - &lt;/td&gt;&lt;td&gt;&lt;/td&gt;&lt;td&gt;Manchester City FC&lt;/td&gt;&lt;/tr&gt;</v>
      </c>
      <c r="B156" t="s">
        <v>718</v>
      </c>
      <c r="C156" t="s">
        <v>673</v>
      </c>
      <c r="D156" t="s">
        <v>651</v>
      </c>
      <c r="E156" t="s">
        <v>189</v>
      </c>
      <c r="F156" t="s">
        <v>651</v>
      </c>
      <c r="G156" s="3" t="s">
        <v>476</v>
      </c>
      <c r="H156" t="s">
        <v>651</v>
      </c>
      <c r="I156" t="s">
        <v>530</v>
      </c>
      <c r="J156" t="s">
        <v>651</v>
      </c>
      <c r="K156" t="s">
        <v>478</v>
      </c>
      <c r="L156" t="s">
        <v>651</v>
      </c>
      <c r="M156" t="s">
        <v>476</v>
      </c>
      <c r="N156" t="s">
        <v>651</v>
      </c>
      <c r="O156" t="s">
        <v>512</v>
      </c>
      <c r="P156" t="s">
        <v>719</v>
      </c>
    </row>
    <row r="157" spans="1:16">
      <c r="A157" t="str">
        <f t="shared" si="2"/>
        <v>&lt;tr&gt;&lt;td&gt;2020-Dec-28&lt;/td&gt;&lt;td&gt;Matchday 16&lt;/td&gt;&lt;td&gt;&lt;/td&gt;&lt;td&gt;Manchester United    &lt;/td&gt;&lt;td&gt; - &lt;/td&gt;&lt;td&gt;&lt;/td&gt;&lt;td&gt;Wolverhampton Wanderers FC&lt;/td&gt;&lt;/tr&gt;</v>
      </c>
      <c r="B157" t="s">
        <v>718</v>
      </c>
      <c r="C157" t="s">
        <v>673</v>
      </c>
      <c r="D157" t="s">
        <v>651</v>
      </c>
      <c r="E157" t="s">
        <v>189</v>
      </c>
      <c r="F157" t="s">
        <v>651</v>
      </c>
      <c r="G157" s="3" t="s">
        <v>476</v>
      </c>
      <c r="H157" t="s">
        <v>651</v>
      </c>
      <c r="I157" t="s">
        <v>541</v>
      </c>
      <c r="J157" t="s">
        <v>651</v>
      </c>
      <c r="K157" t="s">
        <v>478</v>
      </c>
      <c r="L157" t="s">
        <v>651</v>
      </c>
      <c r="M157" t="s">
        <v>476</v>
      </c>
      <c r="N157" t="s">
        <v>651</v>
      </c>
      <c r="O157" t="s">
        <v>502</v>
      </c>
      <c r="P157" t="s">
        <v>719</v>
      </c>
    </row>
    <row r="158" spans="1:16">
      <c r="A158" t="str">
        <f t="shared" si="2"/>
        <v>&lt;tr&gt;&lt;td&gt;2020-Dec-28&lt;/td&gt;&lt;td&gt;Matchday 16&lt;/td&gt;&lt;td&gt;&lt;/td&gt;&lt;td&gt;Newcastle United FC &lt;/td&gt;&lt;td&gt; - &lt;/td&gt;&lt;td&gt;&lt;/td&gt;&lt;td&gt;Liverpool FC&lt;/td&gt;&lt;/tr&gt;</v>
      </c>
      <c r="B158" t="s">
        <v>718</v>
      </c>
      <c r="C158" t="s">
        <v>673</v>
      </c>
      <c r="D158" t="s">
        <v>651</v>
      </c>
      <c r="E158" t="s">
        <v>189</v>
      </c>
      <c r="F158" t="s">
        <v>651</v>
      </c>
      <c r="G158" s="3" t="s">
        <v>476</v>
      </c>
      <c r="H158" t="s">
        <v>651</v>
      </c>
      <c r="I158" t="s">
        <v>533</v>
      </c>
      <c r="J158" t="s">
        <v>651</v>
      </c>
      <c r="K158" t="s">
        <v>478</v>
      </c>
      <c r="L158" t="s">
        <v>651</v>
      </c>
      <c r="M158" t="s">
        <v>476</v>
      </c>
      <c r="N158" t="s">
        <v>651</v>
      </c>
      <c r="O158" t="s">
        <v>489</v>
      </c>
      <c r="P158" t="s">
        <v>719</v>
      </c>
    </row>
    <row r="159" spans="1:16">
      <c r="A159" t="str">
        <f t="shared" si="2"/>
        <v>&lt;tr&gt;&lt;td&gt;2020-Dec-28&lt;/td&gt;&lt;td&gt;Matchday 16&lt;/td&gt;&lt;td&gt;&lt;/td&gt;&lt;td&gt;Southampton FC &lt;/td&gt;&lt;td&gt; - &lt;/td&gt;&lt;td&gt;&lt;/td&gt;&lt;td&gt;West Ham United FC&lt;/td&gt;&lt;/tr&gt;</v>
      </c>
      <c r="B159" t="s">
        <v>718</v>
      </c>
      <c r="C159" t="s">
        <v>673</v>
      </c>
      <c r="D159" t="s">
        <v>651</v>
      </c>
      <c r="E159" t="s">
        <v>189</v>
      </c>
      <c r="F159" t="s">
        <v>651</v>
      </c>
      <c r="G159" s="3" t="s">
        <v>476</v>
      </c>
      <c r="H159" t="s">
        <v>651</v>
      </c>
      <c r="I159" t="s">
        <v>542</v>
      </c>
      <c r="J159" t="s">
        <v>651</v>
      </c>
      <c r="K159" t="s">
        <v>478</v>
      </c>
      <c r="L159" t="s">
        <v>651</v>
      </c>
      <c r="M159" t="s">
        <v>476</v>
      </c>
      <c r="N159" t="s">
        <v>651</v>
      </c>
      <c r="O159" t="s">
        <v>493</v>
      </c>
      <c r="P159" t="s">
        <v>719</v>
      </c>
    </row>
    <row r="160" spans="1:16">
      <c r="A160" t="str">
        <f t="shared" si="2"/>
        <v>&lt;tr&gt;&lt;td&gt;2020-Dec-28&lt;/td&gt;&lt;td&gt;Matchday 16&lt;/td&gt;&lt;td&gt;&lt;/td&gt;&lt;td&gt;Tottenham Hotspur FC &lt;/td&gt;&lt;td&gt; - &lt;/td&gt;&lt;td&gt;&lt;/td&gt;&lt;td&gt;Fulham FC&lt;/td&gt;&lt;/tr&gt;</v>
      </c>
      <c r="B160" t="s">
        <v>718</v>
      </c>
      <c r="C160" t="s">
        <v>673</v>
      </c>
      <c r="D160" t="s">
        <v>651</v>
      </c>
      <c r="E160" t="s">
        <v>189</v>
      </c>
      <c r="F160" t="s">
        <v>651</v>
      </c>
      <c r="G160" s="3" t="s">
        <v>476</v>
      </c>
      <c r="H160" t="s">
        <v>651</v>
      </c>
      <c r="I160" t="s">
        <v>535</v>
      </c>
      <c r="J160" t="s">
        <v>651</v>
      </c>
      <c r="K160" t="s">
        <v>478</v>
      </c>
      <c r="L160" t="s">
        <v>651</v>
      </c>
      <c r="M160" t="s">
        <v>476</v>
      </c>
      <c r="N160" t="s">
        <v>651</v>
      </c>
      <c r="O160" t="s">
        <v>482</v>
      </c>
      <c r="P160" t="s">
        <v>719</v>
      </c>
    </row>
    <row r="161" spans="1:16">
      <c r="A161" t="str">
        <f t="shared" si="2"/>
        <v>&lt;tr&gt;&lt;td&gt;2020-Dec-28&lt;/td&gt;&lt;td&gt;Matchday 16&lt;/td&gt;&lt;td&gt;&lt;/td&gt;&lt;td&gt;West Bromwich Albion FC &lt;/td&gt;&lt;td&gt; - &lt;/td&gt;&lt;td&gt;&lt;/td&gt;&lt;td&gt;Leeds United FC&lt;/td&gt;&lt;/tr&gt;</v>
      </c>
      <c r="B161" t="s">
        <v>718</v>
      </c>
      <c r="C161" t="s">
        <v>673</v>
      </c>
      <c r="D161" t="s">
        <v>651</v>
      </c>
      <c r="E161" t="s">
        <v>189</v>
      </c>
      <c r="F161" t="s">
        <v>651</v>
      </c>
      <c r="G161" s="3" t="s">
        <v>476</v>
      </c>
      <c r="H161" t="s">
        <v>651</v>
      </c>
      <c r="I161" t="s">
        <v>536</v>
      </c>
      <c r="J161" t="s">
        <v>651</v>
      </c>
      <c r="K161" t="s">
        <v>478</v>
      </c>
      <c r="L161" t="s">
        <v>651</v>
      </c>
      <c r="M161" t="s">
        <v>476</v>
      </c>
      <c r="N161" t="s">
        <v>651</v>
      </c>
      <c r="O161" t="s">
        <v>492</v>
      </c>
      <c r="P161" t="s">
        <v>719</v>
      </c>
    </row>
    <row r="162" spans="1:16">
      <c r="A162" t="str">
        <f t="shared" si="2"/>
        <v>&lt;tr&gt;&lt;td&gt;2020-Jan-2&lt;/td&gt;&lt;td&gt;Matchday 17&lt;/td&gt;&lt;td&gt;&lt;/td&gt;&lt;td&gt;Brighton and Hove Albion FC &lt;/td&gt;&lt;td&gt; - &lt;/td&gt;&lt;td&gt;&lt;/td&gt;&lt;td&gt;Wolverhampton Wanderers FC&lt;/td&gt;&lt;/tr&gt;</v>
      </c>
      <c r="B162" t="s">
        <v>718</v>
      </c>
      <c r="C162" t="s">
        <v>701</v>
      </c>
      <c r="D162" t="s">
        <v>651</v>
      </c>
      <c r="E162" t="s">
        <v>201</v>
      </c>
      <c r="F162" t="s">
        <v>651</v>
      </c>
      <c r="G162" s="3" t="s">
        <v>476</v>
      </c>
      <c r="H162" t="s">
        <v>651</v>
      </c>
      <c r="I162" t="s">
        <v>654</v>
      </c>
      <c r="J162" t="s">
        <v>651</v>
      </c>
      <c r="K162" t="s">
        <v>478</v>
      </c>
      <c r="L162" t="s">
        <v>651</v>
      </c>
      <c r="M162" t="s">
        <v>476</v>
      </c>
      <c r="N162" t="s">
        <v>651</v>
      </c>
      <c r="O162" t="s">
        <v>502</v>
      </c>
      <c r="P162" t="s">
        <v>719</v>
      </c>
    </row>
    <row r="163" spans="1:16">
      <c r="A163" t="str">
        <f t="shared" si="2"/>
        <v>&lt;tr&gt;&lt;td&gt;2020-Jan-2&lt;/td&gt;&lt;td&gt;Matchday 17&lt;/td&gt;&lt;td&gt;&lt;/td&gt;&lt;td&gt;Burnley FC &lt;/td&gt;&lt;td&gt; - &lt;/td&gt;&lt;td&gt;&lt;/td&gt;&lt;td&gt;Fulham FC&lt;/td&gt;&lt;/tr&gt;</v>
      </c>
      <c r="B163" t="s">
        <v>718</v>
      </c>
      <c r="C163" t="s">
        <v>701</v>
      </c>
      <c r="D163" t="s">
        <v>651</v>
      </c>
      <c r="E163" t="s">
        <v>201</v>
      </c>
      <c r="F163" t="s">
        <v>651</v>
      </c>
      <c r="G163" s="3" t="s">
        <v>476</v>
      </c>
      <c r="H163" t="s">
        <v>651</v>
      </c>
      <c r="I163" t="s">
        <v>477</v>
      </c>
      <c r="J163" t="s">
        <v>651</v>
      </c>
      <c r="K163" t="s">
        <v>478</v>
      </c>
      <c r="L163" t="s">
        <v>651</v>
      </c>
      <c r="M163" t="s">
        <v>476</v>
      </c>
      <c r="N163" t="s">
        <v>651</v>
      </c>
      <c r="O163" t="s">
        <v>482</v>
      </c>
      <c r="P163" t="s">
        <v>719</v>
      </c>
    </row>
    <row r="164" spans="1:16">
      <c r="A164" t="str">
        <f t="shared" si="2"/>
        <v>&lt;tr&gt;&lt;td&gt;2020-Jan-2&lt;/td&gt;&lt;td&gt;Matchday 17&lt;/td&gt;&lt;td&gt;&lt;/td&gt;&lt;td&gt;Chelsea FC &lt;/td&gt;&lt;td&gt; - &lt;/td&gt;&lt;td&gt;&lt;/td&gt;&lt;td&gt;Manchester City FC&lt;/td&gt;&lt;/tr&gt;</v>
      </c>
      <c r="B164" t="s">
        <v>718</v>
      </c>
      <c r="C164" t="s">
        <v>701</v>
      </c>
      <c r="D164" t="s">
        <v>651</v>
      </c>
      <c r="E164" t="s">
        <v>201</v>
      </c>
      <c r="F164" t="s">
        <v>651</v>
      </c>
      <c r="G164" s="3" t="s">
        <v>476</v>
      </c>
      <c r="H164" t="s">
        <v>651</v>
      </c>
      <c r="I164" t="s">
        <v>528</v>
      </c>
      <c r="J164" t="s">
        <v>651</v>
      </c>
      <c r="K164" t="s">
        <v>478</v>
      </c>
      <c r="L164" t="s">
        <v>651</v>
      </c>
      <c r="M164" t="s">
        <v>476</v>
      </c>
      <c r="N164" t="s">
        <v>651</v>
      </c>
      <c r="O164" t="s">
        <v>512</v>
      </c>
      <c r="P164" t="s">
        <v>719</v>
      </c>
    </row>
    <row r="165" spans="1:16">
      <c r="A165" t="str">
        <f t="shared" si="2"/>
        <v>&lt;tr&gt;&lt;td&gt;2020-Jan-2&lt;/td&gt;&lt;td&gt;Matchday 17&lt;/td&gt;&lt;td&gt;&lt;/td&gt;&lt;td&gt;Crystal Palace FC &lt;/td&gt;&lt;td&gt; - &lt;/td&gt;&lt;td&gt;&lt;/td&gt;&lt;td&gt;Sheffield United FC&lt;/td&gt;&lt;/tr&gt;</v>
      </c>
      <c r="B165" t="s">
        <v>718</v>
      </c>
      <c r="C165" t="s">
        <v>701</v>
      </c>
      <c r="D165" t="s">
        <v>651</v>
      </c>
      <c r="E165" t="s">
        <v>201</v>
      </c>
      <c r="F165" t="s">
        <v>651</v>
      </c>
      <c r="G165" s="3" t="s">
        <v>476</v>
      </c>
      <c r="H165" t="s">
        <v>651</v>
      </c>
      <c r="I165" t="s">
        <v>529</v>
      </c>
      <c r="J165" t="s">
        <v>651</v>
      </c>
      <c r="K165" t="s">
        <v>478</v>
      </c>
      <c r="L165" t="s">
        <v>651</v>
      </c>
      <c r="M165" t="s">
        <v>476</v>
      </c>
      <c r="N165" t="s">
        <v>651</v>
      </c>
      <c r="O165" t="s">
        <v>501</v>
      </c>
      <c r="P165" t="s">
        <v>719</v>
      </c>
    </row>
    <row r="166" spans="1:16">
      <c r="A166" t="str">
        <f t="shared" si="2"/>
        <v>&lt;tr&gt;&lt;td&gt;2020-Jan-2&lt;/td&gt;&lt;td&gt;Matchday 17&lt;/td&gt;&lt;td&gt;&lt;/td&gt;&lt;td&gt;Everton FC &lt;/td&gt;&lt;td&gt; - &lt;/td&gt;&lt;td&gt;&lt;/td&gt;&lt;td&gt;West Ham United FC&lt;/td&gt;&lt;/tr&gt;</v>
      </c>
      <c r="B166" t="s">
        <v>718</v>
      </c>
      <c r="C166" t="s">
        <v>701</v>
      </c>
      <c r="D166" t="s">
        <v>651</v>
      </c>
      <c r="E166" t="s">
        <v>201</v>
      </c>
      <c r="F166" t="s">
        <v>651</v>
      </c>
      <c r="G166" s="3" t="s">
        <v>476</v>
      </c>
      <c r="H166" t="s">
        <v>651</v>
      </c>
      <c r="I166" t="s">
        <v>530</v>
      </c>
      <c r="J166" t="s">
        <v>651</v>
      </c>
      <c r="K166" t="s">
        <v>478</v>
      </c>
      <c r="L166" t="s">
        <v>651</v>
      </c>
      <c r="M166" t="s">
        <v>476</v>
      </c>
      <c r="N166" t="s">
        <v>651</v>
      </c>
      <c r="O166" t="s">
        <v>493</v>
      </c>
      <c r="P166" t="s">
        <v>719</v>
      </c>
    </row>
    <row r="167" spans="1:16">
      <c r="A167" t="str">
        <f t="shared" si="2"/>
        <v>&lt;tr&gt;&lt;td&gt;2020-Jan-2&lt;/td&gt;&lt;td&gt;Matchday 17&lt;/td&gt;&lt;td&gt;&lt;/td&gt;&lt;td&gt;Manchester United    &lt;/td&gt;&lt;td&gt; - &lt;/td&gt;&lt;td&gt;&lt;/td&gt;&lt;td&gt;Aston Villa FC&lt;/td&gt;&lt;/tr&gt;</v>
      </c>
      <c r="B167" t="s">
        <v>718</v>
      </c>
      <c r="C167" t="s">
        <v>701</v>
      </c>
      <c r="D167" t="s">
        <v>651</v>
      </c>
      <c r="E167" t="s">
        <v>201</v>
      </c>
      <c r="F167" t="s">
        <v>651</v>
      </c>
      <c r="G167" s="3" t="s">
        <v>476</v>
      </c>
      <c r="H167" t="s">
        <v>651</v>
      </c>
      <c r="I167" t="s">
        <v>541</v>
      </c>
      <c r="J167" t="s">
        <v>651</v>
      </c>
      <c r="K167" t="s">
        <v>478</v>
      </c>
      <c r="L167" t="s">
        <v>651</v>
      </c>
      <c r="M167" t="s">
        <v>476</v>
      </c>
      <c r="N167" t="s">
        <v>651</v>
      </c>
      <c r="O167" t="s">
        <v>481</v>
      </c>
      <c r="P167" t="s">
        <v>719</v>
      </c>
    </row>
    <row r="168" spans="1:16">
      <c r="A168" t="str">
        <f t="shared" si="2"/>
        <v>&lt;tr&gt;&lt;td&gt;2020-Jan-2&lt;/td&gt;&lt;td&gt;Matchday 17&lt;/td&gt;&lt;td&gt;&lt;/td&gt;&lt;td&gt;Newcastle United FC &lt;/td&gt;&lt;td&gt; - &lt;/td&gt;&lt;td&gt;&lt;/td&gt;&lt;td&gt;Leicester City FC&lt;/td&gt;&lt;/tr&gt;</v>
      </c>
      <c r="B168" t="s">
        <v>718</v>
      </c>
      <c r="C168" t="s">
        <v>701</v>
      </c>
      <c r="D168" t="s">
        <v>651</v>
      </c>
      <c r="E168" t="s">
        <v>201</v>
      </c>
      <c r="F168" t="s">
        <v>651</v>
      </c>
      <c r="G168" s="3" t="s">
        <v>476</v>
      </c>
      <c r="H168" t="s">
        <v>651</v>
      </c>
      <c r="I168" t="s">
        <v>533</v>
      </c>
      <c r="J168" t="s">
        <v>651</v>
      </c>
      <c r="K168" t="s">
        <v>478</v>
      </c>
      <c r="L168" t="s">
        <v>651</v>
      </c>
      <c r="M168" t="s">
        <v>476</v>
      </c>
      <c r="N168" t="s">
        <v>651</v>
      </c>
      <c r="O168" t="s">
        <v>498</v>
      </c>
      <c r="P168" t="s">
        <v>719</v>
      </c>
    </row>
    <row r="169" spans="1:16">
      <c r="A169" t="str">
        <f t="shared" si="2"/>
        <v>&lt;tr&gt;&lt;td&gt;2020-Jan-2&lt;/td&gt;&lt;td&gt;Matchday 17&lt;/td&gt;&lt;td&gt;&lt;/td&gt;&lt;td&gt;Southampton FC &lt;/td&gt;&lt;td&gt; - &lt;/td&gt;&lt;td&gt;&lt;/td&gt;&lt;td&gt;Liverpool FC&lt;/td&gt;&lt;/tr&gt;</v>
      </c>
      <c r="B169" t="s">
        <v>718</v>
      </c>
      <c r="C169" t="s">
        <v>701</v>
      </c>
      <c r="D169" t="s">
        <v>651</v>
      </c>
      <c r="E169" t="s">
        <v>201</v>
      </c>
      <c r="F169" t="s">
        <v>651</v>
      </c>
      <c r="G169" s="3" t="s">
        <v>476</v>
      </c>
      <c r="H169" t="s">
        <v>651</v>
      </c>
      <c r="I169" t="s">
        <v>542</v>
      </c>
      <c r="J169" t="s">
        <v>651</v>
      </c>
      <c r="K169" t="s">
        <v>478</v>
      </c>
      <c r="L169" t="s">
        <v>651</v>
      </c>
      <c r="M169" t="s">
        <v>476</v>
      </c>
      <c r="N169" t="s">
        <v>651</v>
      </c>
      <c r="O169" t="s">
        <v>489</v>
      </c>
      <c r="P169" t="s">
        <v>719</v>
      </c>
    </row>
    <row r="170" spans="1:16">
      <c r="A170" t="str">
        <f t="shared" si="2"/>
        <v>&lt;tr&gt;&lt;td&gt;2020-Jan-2&lt;/td&gt;&lt;td&gt;Matchday 17&lt;/td&gt;&lt;td&gt;&lt;/td&gt;&lt;td&gt;Tottenham Hotspur FC &lt;/td&gt;&lt;td&gt; - &lt;/td&gt;&lt;td&gt;&lt;/td&gt;&lt;td&gt;Leeds United FC&lt;/td&gt;&lt;/tr&gt;</v>
      </c>
      <c r="B170" t="s">
        <v>718</v>
      </c>
      <c r="C170" t="s">
        <v>701</v>
      </c>
      <c r="D170" t="s">
        <v>651</v>
      </c>
      <c r="E170" t="s">
        <v>201</v>
      </c>
      <c r="F170" t="s">
        <v>651</v>
      </c>
      <c r="G170" s="3" t="s">
        <v>476</v>
      </c>
      <c r="H170" t="s">
        <v>651</v>
      </c>
      <c r="I170" t="s">
        <v>535</v>
      </c>
      <c r="J170" t="s">
        <v>651</v>
      </c>
      <c r="K170" t="s">
        <v>478</v>
      </c>
      <c r="L170" t="s">
        <v>651</v>
      </c>
      <c r="M170" t="s">
        <v>476</v>
      </c>
      <c r="N170" t="s">
        <v>651</v>
      </c>
      <c r="O170" t="s">
        <v>492</v>
      </c>
      <c r="P170" t="s">
        <v>719</v>
      </c>
    </row>
    <row r="171" spans="1:16">
      <c r="A171" t="str">
        <f t="shared" si="2"/>
        <v>&lt;tr&gt;&lt;td&gt;2020-Jan-2&lt;/td&gt;&lt;td&gt;Matchday 17&lt;/td&gt;&lt;td&gt;&lt;/td&gt;&lt;td&gt;West Bromwich Albion FC &lt;/td&gt;&lt;td&gt; - &lt;/td&gt;&lt;td&gt;&lt;/td&gt;&lt;td&gt;Arsenal FC&lt;/td&gt;&lt;/tr&gt;</v>
      </c>
      <c r="B171" t="s">
        <v>718</v>
      </c>
      <c r="C171" t="s">
        <v>701</v>
      </c>
      <c r="D171" t="s">
        <v>651</v>
      </c>
      <c r="E171" t="s">
        <v>201</v>
      </c>
      <c r="F171" t="s">
        <v>651</v>
      </c>
      <c r="G171" s="3" t="s">
        <v>476</v>
      </c>
      <c r="H171" t="s">
        <v>651</v>
      </c>
      <c r="I171" t="s">
        <v>536</v>
      </c>
      <c r="J171" t="s">
        <v>651</v>
      </c>
      <c r="K171" t="s">
        <v>478</v>
      </c>
      <c r="L171" t="s">
        <v>651</v>
      </c>
      <c r="M171" t="s">
        <v>476</v>
      </c>
      <c r="N171" t="s">
        <v>651</v>
      </c>
      <c r="O171" t="s">
        <v>485</v>
      </c>
      <c r="P171" t="s">
        <v>719</v>
      </c>
    </row>
    <row r="172" spans="1:16">
      <c r="A172" t="str">
        <f t="shared" si="2"/>
        <v>&lt;tr&gt;&lt;td&gt;2020-Jan-12&lt;/td&gt;&lt;td&gt;Matchday 18&lt;/td&gt;&lt;td&gt;0,822916666666667&lt;/td&gt;&lt;td&gt;Arsenal FC&lt;/td&gt;&lt;td&gt; - &lt;/td&gt;&lt;td&gt;&lt;/td&gt;&lt;td&gt; Palace FC&lt;/td&gt;&lt;/tr&gt;</v>
      </c>
      <c r="B172" t="s">
        <v>718</v>
      </c>
      <c r="C172" t="s">
        <v>678</v>
      </c>
      <c r="D172" t="s">
        <v>651</v>
      </c>
      <c r="E172" t="s">
        <v>213</v>
      </c>
      <c r="F172" t="s">
        <v>651</v>
      </c>
      <c r="G172" s="3">
        <v>0.82291666666666663</v>
      </c>
      <c r="H172" t="s">
        <v>651</v>
      </c>
      <c r="I172" t="s">
        <v>485</v>
      </c>
      <c r="J172" t="s">
        <v>651</v>
      </c>
      <c r="K172" t="s">
        <v>478</v>
      </c>
      <c r="L172" t="s">
        <v>651</v>
      </c>
      <c r="M172" t="s">
        <v>476</v>
      </c>
      <c r="N172" t="s">
        <v>651</v>
      </c>
      <c r="O172" t="s">
        <v>554</v>
      </c>
      <c r="P172" t="s">
        <v>719</v>
      </c>
    </row>
    <row r="173" spans="1:16">
      <c r="A173" t="str">
        <f t="shared" si="2"/>
        <v>&lt;tr&gt;&lt;td&gt;2020-Jan-12&lt;/td&gt;&lt;td&gt;Matchday 18&lt;/td&gt;&lt;td&gt;&lt;/td&gt;&lt;td&gt;       Aston Villa FC &lt;/td&gt;&lt;td&gt; - &lt;/td&gt;&lt;td&gt;&lt;/td&gt;&lt;td&gt;Tottenham Hotspur FC&lt;/td&gt;&lt;/tr&gt;</v>
      </c>
      <c r="B173" t="s">
        <v>718</v>
      </c>
      <c r="C173" t="s">
        <v>678</v>
      </c>
      <c r="D173" t="s">
        <v>651</v>
      </c>
      <c r="E173" t="s">
        <v>213</v>
      </c>
      <c r="F173" t="s">
        <v>651</v>
      </c>
      <c r="G173" s="3" t="s">
        <v>476</v>
      </c>
      <c r="H173" t="s">
        <v>651</v>
      </c>
      <c r="I173" t="s">
        <v>546</v>
      </c>
      <c r="J173" t="s">
        <v>651</v>
      </c>
      <c r="K173" t="s">
        <v>478</v>
      </c>
      <c r="L173" t="s">
        <v>651</v>
      </c>
      <c r="M173" t="s">
        <v>476</v>
      </c>
      <c r="N173" t="s">
        <v>651</v>
      </c>
      <c r="O173" t="s">
        <v>499</v>
      </c>
      <c r="P173" t="s">
        <v>719</v>
      </c>
    </row>
    <row r="174" spans="1:16">
      <c r="A174" t="str">
        <f t="shared" si="2"/>
        <v>&lt;tr&gt;&lt;td&gt;2020-Jan-12&lt;/td&gt;&lt;td&gt;Matchday 18&lt;/td&gt;&lt;td&gt;&lt;/td&gt;&lt;td&gt;       Fulham FC &lt;/td&gt;&lt;td&gt; - &lt;/td&gt;&lt;td&gt;&lt;/td&gt;&lt;td&gt;Manchester United&lt;/td&gt;&lt;/tr&gt;</v>
      </c>
      <c r="B174" t="s">
        <v>718</v>
      </c>
      <c r="C174" t="s">
        <v>678</v>
      </c>
      <c r="D174" t="s">
        <v>651</v>
      </c>
      <c r="E174" t="s">
        <v>213</v>
      </c>
      <c r="F174" t="s">
        <v>651</v>
      </c>
      <c r="G174" s="3" t="s">
        <v>476</v>
      </c>
      <c r="H174" t="s">
        <v>651</v>
      </c>
      <c r="I174" t="s">
        <v>547</v>
      </c>
      <c r="J174" t="s">
        <v>651</v>
      </c>
      <c r="K174" t="s">
        <v>478</v>
      </c>
      <c r="L174" t="s">
        <v>651</v>
      </c>
      <c r="M174" t="s">
        <v>476</v>
      </c>
      <c r="N174" t="s">
        <v>651</v>
      </c>
      <c r="O174" t="s">
        <v>479</v>
      </c>
      <c r="P174" t="s">
        <v>719</v>
      </c>
    </row>
    <row r="175" spans="1:16">
      <c r="A175" t="str">
        <f t="shared" si="2"/>
        <v>&lt;tr&gt;&lt;td&gt;2020-Jan-12&lt;/td&gt;&lt;td&gt;Matchday 18&lt;/td&gt;&lt;td&gt;&lt;/td&gt;&lt;td&gt;       Leeds United FC &lt;/td&gt;&lt;td&gt; - &lt;/td&gt;&lt;td&gt;&lt;/td&gt;&lt;td&gt;Southampton FC&lt;/td&gt;&lt;/tr&gt;</v>
      </c>
      <c r="B175" t="s">
        <v>718</v>
      </c>
      <c r="C175" t="s">
        <v>678</v>
      </c>
      <c r="D175" t="s">
        <v>651</v>
      </c>
      <c r="E175" t="s">
        <v>213</v>
      </c>
      <c r="F175" t="s">
        <v>651</v>
      </c>
      <c r="G175" s="3" t="s">
        <v>476</v>
      </c>
      <c r="H175" t="s">
        <v>651</v>
      </c>
      <c r="I175" t="s">
        <v>548</v>
      </c>
      <c r="J175" t="s">
        <v>651</v>
      </c>
      <c r="K175" t="s">
        <v>478</v>
      </c>
      <c r="L175" t="s">
        <v>651</v>
      </c>
      <c r="M175" t="s">
        <v>476</v>
      </c>
      <c r="N175" t="s">
        <v>651</v>
      </c>
      <c r="O175" t="s">
        <v>488</v>
      </c>
      <c r="P175" t="s">
        <v>719</v>
      </c>
    </row>
    <row r="176" spans="1:16">
      <c r="A176" t="str">
        <f t="shared" si="2"/>
        <v>&lt;tr&gt;&lt;td&gt;2020-Jan-12&lt;/td&gt;&lt;td&gt;Matchday 18&lt;/td&gt;&lt;td&gt;&lt;/td&gt;&lt;td&gt;       Leicester City FC &lt;/td&gt;&lt;td&gt; - &lt;/td&gt;&lt;td&gt;&lt;/td&gt;&lt;td&gt;Chelsea FC&lt;/td&gt;&lt;/tr&gt;</v>
      </c>
      <c r="B176" t="s">
        <v>718</v>
      </c>
      <c r="C176" t="s">
        <v>678</v>
      </c>
      <c r="D176" t="s">
        <v>651</v>
      </c>
      <c r="E176" t="s">
        <v>213</v>
      </c>
      <c r="F176" t="s">
        <v>651</v>
      </c>
      <c r="G176" s="3" t="s">
        <v>476</v>
      </c>
      <c r="H176" t="s">
        <v>651</v>
      </c>
      <c r="I176" t="s">
        <v>549</v>
      </c>
      <c r="J176" t="s">
        <v>651</v>
      </c>
      <c r="K176" t="s">
        <v>478</v>
      </c>
      <c r="L176" t="s">
        <v>651</v>
      </c>
      <c r="M176" t="s">
        <v>476</v>
      </c>
      <c r="N176" t="s">
        <v>651</v>
      </c>
      <c r="O176" t="s">
        <v>504</v>
      </c>
      <c r="P176" t="s">
        <v>719</v>
      </c>
    </row>
    <row r="177" spans="1:16">
      <c r="A177" t="str">
        <f t="shared" si="2"/>
        <v>&lt;tr&gt;&lt;td&gt;2020-Jan-12&lt;/td&gt;&lt;td&gt;Matchday 18&lt;/td&gt;&lt;td&gt;&lt;/td&gt;&lt;td&gt;       Sheffield United FC &lt;/td&gt;&lt;td&gt; - &lt;/td&gt;&lt;td&gt;&lt;/td&gt;&lt;td&gt;Newcastle United FC&lt;/td&gt;&lt;/tr&gt;</v>
      </c>
      <c r="B177" t="s">
        <v>718</v>
      </c>
      <c r="C177" t="s">
        <v>678</v>
      </c>
      <c r="D177" t="s">
        <v>651</v>
      </c>
      <c r="E177" t="s">
        <v>213</v>
      </c>
      <c r="F177" t="s">
        <v>651</v>
      </c>
      <c r="G177" s="3" t="s">
        <v>476</v>
      </c>
      <c r="H177" t="s">
        <v>651</v>
      </c>
      <c r="I177" t="s">
        <v>550</v>
      </c>
      <c r="J177" t="s">
        <v>651</v>
      </c>
      <c r="K177" t="s">
        <v>478</v>
      </c>
      <c r="L177" t="s">
        <v>651</v>
      </c>
      <c r="M177" t="s">
        <v>476</v>
      </c>
      <c r="N177" t="s">
        <v>651</v>
      </c>
      <c r="O177" t="s">
        <v>496</v>
      </c>
      <c r="P177" t="s">
        <v>719</v>
      </c>
    </row>
    <row r="178" spans="1:16">
      <c r="A178" t="str">
        <f t="shared" si="2"/>
        <v>&lt;tr&gt;&lt;td&gt;2020-Jan-12&lt;/td&gt;&lt;td&gt;Matchday 18&lt;/td&gt;&lt;td&gt;&lt;/td&gt;&lt;td&gt;       West Ham United FC &lt;/td&gt;&lt;td&gt; - &lt;/td&gt;&lt;td&gt;&lt;/td&gt;&lt;td&gt;West Bromwich Albion FC&lt;/td&gt;&lt;/tr&gt;</v>
      </c>
      <c r="B178" t="s">
        <v>718</v>
      </c>
      <c r="C178" t="s">
        <v>678</v>
      </c>
      <c r="D178" t="s">
        <v>651</v>
      </c>
      <c r="E178" t="s">
        <v>213</v>
      </c>
      <c r="F178" t="s">
        <v>651</v>
      </c>
      <c r="G178" s="3" t="s">
        <v>476</v>
      </c>
      <c r="H178" t="s">
        <v>651</v>
      </c>
      <c r="I178" t="s">
        <v>551</v>
      </c>
      <c r="J178" t="s">
        <v>651</v>
      </c>
      <c r="K178" t="s">
        <v>478</v>
      </c>
      <c r="L178" t="s">
        <v>651</v>
      </c>
      <c r="M178" t="s">
        <v>476</v>
      </c>
      <c r="N178" t="s">
        <v>651</v>
      </c>
      <c r="O178" t="s">
        <v>497</v>
      </c>
      <c r="P178" t="s">
        <v>719</v>
      </c>
    </row>
    <row r="179" spans="1:16">
      <c r="A179" t="str">
        <f t="shared" si="2"/>
        <v>&lt;tr&gt;&lt;td&gt;2020-Jan-12&lt;/td&gt;&lt;td&gt;Matchday 18&lt;/td&gt;&lt;td&gt;&lt;/td&gt;&lt;td&gt;       Wolverhampton Wanderers FC &lt;/td&gt;&lt;td&gt; - &lt;/td&gt;&lt;td&gt;&lt;/td&gt;&lt;td&gt;Everton FC&lt;/td&gt;&lt;/tr&gt;</v>
      </c>
      <c r="B179" t="s">
        <v>718</v>
      </c>
      <c r="C179" t="s">
        <v>678</v>
      </c>
      <c r="D179" t="s">
        <v>651</v>
      </c>
      <c r="E179" t="s">
        <v>213</v>
      </c>
      <c r="F179" t="s">
        <v>651</v>
      </c>
      <c r="G179" s="3" t="s">
        <v>476</v>
      </c>
      <c r="H179" t="s">
        <v>651</v>
      </c>
      <c r="I179" t="s">
        <v>522</v>
      </c>
      <c r="J179" t="s">
        <v>651</v>
      </c>
      <c r="K179" t="s">
        <v>478</v>
      </c>
      <c r="L179" t="s">
        <v>651</v>
      </c>
      <c r="M179" t="s">
        <v>476</v>
      </c>
      <c r="N179" t="s">
        <v>651</v>
      </c>
      <c r="O179" t="s">
        <v>500</v>
      </c>
      <c r="P179" t="s">
        <v>719</v>
      </c>
    </row>
    <row r="180" spans="1:16">
      <c r="A180" t="str">
        <f t="shared" si="2"/>
        <v>&lt;tr&gt;&lt;td&gt;2020-Jan-13&lt;/td&gt;&lt;td&gt;Matchday 18&lt;/td&gt;&lt;td&gt;0,833333333333333&lt;/td&gt;&lt;td&gt;Liverpool FC&lt;/td&gt;&lt;td&gt; - &lt;/td&gt;&lt;td&gt;&lt;/td&gt;&lt;td&gt; FC&lt;/td&gt;&lt;/tr&gt;</v>
      </c>
      <c r="B180" t="s">
        <v>718</v>
      </c>
      <c r="C180" t="s">
        <v>683</v>
      </c>
      <c r="D180" t="s">
        <v>651</v>
      </c>
      <c r="E180" t="s">
        <v>213</v>
      </c>
      <c r="F180" t="s">
        <v>651</v>
      </c>
      <c r="G180" s="3">
        <v>0.83333333333333337</v>
      </c>
      <c r="H180" t="s">
        <v>651</v>
      </c>
      <c r="I180" t="s">
        <v>489</v>
      </c>
      <c r="J180" t="s">
        <v>651</v>
      </c>
      <c r="K180" t="s">
        <v>478</v>
      </c>
      <c r="L180" t="s">
        <v>651</v>
      </c>
      <c r="M180" t="s">
        <v>476</v>
      </c>
      <c r="N180" t="s">
        <v>651</v>
      </c>
      <c r="O180" t="s">
        <v>555</v>
      </c>
      <c r="P180" t="s">
        <v>719</v>
      </c>
    </row>
    <row r="181" spans="1:16">
      <c r="A181" t="str">
        <f t="shared" si="2"/>
        <v>&lt;tr&gt;&lt;td&gt;2020-Jan-13&lt;/td&gt;&lt;td&gt;Matchday 18&lt;/td&gt;&lt;td&gt;&lt;/td&gt;&lt;td&gt;       Manchester City FC &lt;/td&gt;&lt;td&gt; - &lt;/td&gt;&lt;td&gt;&lt;/td&gt;&lt;td&gt;Brighton and Hove Albion FC&lt;/td&gt;&lt;/tr&gt;</v>
      </c>
      <c r="B181" t="s">
        <v>718</v>
      </c>
      <c r="C181" t="s">
        <v>683</v>
      </c>
      <c r="D181" t="s">
        <v>651</v>
      </c>
      <c r="E181" t="s">
        <v>213</v>
      </c>
      <c r="F181" t="s">
        <v>651</v>
      </c>
      <c r="G181" s="3" t="s">
        <v>476</v>
      </c>
      <c r="H181" t="s">
        <v>651</v>
      </c>
      <c r="I181" t="s">
        <v>553</v>
      </c>
      <c r="J181" t="s">
        <v>651</v>
      </c>
      <c r="K181" t="s">
        <v>478</v>
      </c>
      <c r="L181" t="s">
        <v>651</v>
      </c>
      <c r="M181" t="s">
        <v>476</v>
      </c>
      <c r="N181" t="s">
        <v>651</v>
      </c>
      <c r="O181" t="s">
        <v>652</v>
      </c>
      <c r="P181" t="s">
        <v>719</v>
      </c>
    </row>
    <row r="182" spans="1:16">
      <c r="A182" t="str">
        <f t="shared" si="2"/>
        <v>&lt;tr&gt;&lt;td&gt;2020-Jan-16&lt;/td&gt;&lt;td&gt;Matchday 19&lt;/td&gt;&lt;td&gt;&lt;/td&gt;&lt;td&gt;Arsenal FC &lt;/td&gt;&lt;td&gt; - &lt;/td&gt;&lt;td&gt;&lt;/td&gt;&lt;td&gt;Newcastle United FC&lt;/td&gt;&lt;/tr&gt;</v>
      </c>
      <c r="B182" t="s">
        <v>718</v>
      </c>
      <c r="C182" t="s">
        <v>702</v>
      </c>
      <c r="D182" t="s">
        <v>651</v>
      </c>
      <c r="E182" t="s">
        <v>226</v>
      </c>
      <c r="F182" t="s">
        <v>651</v>
      </c>
      <c r="G182" s="3" t="s">
        <v>476</v>
      </c>
      <c r="H182" t="s">
        <v>651</v>
      </c>
      <c r="I182" t="s">
        <v>537</v>
      </c>
      <c r="J182" t="s">
        <v>651</v>
      </c>
      <c r="K182" t="s">
        <v>478</v>
      </c>
      <c r="L182" t="s">
        <v>651</v>
      </c>
      <c r="M182" t="s">
        <v>476</v>
      </c>
      <c r="N182" t="s">
        <v>651</v>
      </c>
      <c r="O182" t="s">
        <v>496</v>
      </c>
      <c r="P182" t="s">
        <v>719</v>
      </c>
    </row>
    <row r="183" spans="1:16">
      <c r="A183" t="str">
        <f t="shared" si="2"/>
        <v>&lt;tr&gt;&lt;td&gt;2020-Jan-16&lt;/td&gt;&lt;td&gt;Matchday 19&lt;/td&gt;&lt;td&gt;&lt;/td&gt;&lt;td&gt;Aston Villa FC &lt;/td&gt;&lt;td&gt; - &lt;/td&gt;&lt;td&gt;&lt;/td&gt;&lt;td&gt;Everton FC&lt;/td&gt;&lt;/tr&gt;</v>
      </c>
      <c r="B183" t="s">
        <v>718</v>
      </c>
      <c r="C183" t="s">
        <v>702</v>
      </c>
      <c r="D183" t="s">
        <v>651</v>
      </c>
      <c r="E183" t="s">
        <v>226</v>
      </c>
      <c r="F183" t="s">
        <v>651</v>
      </c>
      <c r="G183" s="3" t="s">
        <v>476</v>
      </c>
      <c r="H183" t="s">
        <v>651</v>
      </c>
      <c r="I183" t="s">
        <v>538</v>
      </c>
      <c r="J183" t="s">
        <v>651</v>
      </c>
      <c r="K183" t="s">
        <v>478</v>
      </c>
      <c r="L183" t="s">
        <v>651</v>
      </c>
      <c r="M183" t="s">
        <v>476</v>
      </c>
      <c r="N183" t="s">
        <v>651</v>
      </c>
      <c r="O183" t="s">
        <v>500</v>
      </c>
      <c r="P183" t="s">
        <v>719</v>
      </c>
    </row>
    <row r="184" spans="1:16">
      <c r="A184" t="str">
        <f t="shared" si="2"/>
        <v>&lt;tr&gt;&lt;td&gt;2020-Jan-16&lt;/td&gt;&lt;td&gt;Matchday 19&lt;/td&gt;&lt;td&gt;&lt;/td&gt;&lt;td&gt;Fulham FC &lt;/td&gt;&lt;td&gt; - &lt;/td&gt;&lt;td&gt;&lt;/td&gt;&lt;td&gt;Chelsea FC&lt;/td&gt;&lt;/tr&gt;</v>
      </c>
      <c r="B184" t="s">
        <v>718</v>
      </c>
      <c r="C184" t="s">
        <v>702</v>
      </c>
      <c r="D184" t="s">
        <v>651</v>
      </c>
      <c r="E184" t="s">
        <v>226</v>
      </c>
      <c r="F184" t="s">
        <v>651</v>
      </c>
      <c r="G184" s="3" t="s">
        <v>476</v>
      </c>
      <c r="H184" t="s">
        <v>651</v>
      </c>
      <c r="I184" t="s">
        <v>539</v>
      </c>
      <c r="J184" t="s">
        <v>651</v>
      </c>
      <c r="K184" t="s">
        <v>478</v>
      </c>
      <c r="L184" t="s">
        <v>651</v>
      </c>
      <c r="M184" t="s">
        <v>476</v>
      </c>
      <c r="N184" t="s">
        <v>651</v>
      </c>
      <c r="O184" t="s">
        <v>504</v>
      </c>
      <c r="P184" t="s">
        <v>719</v>
      </c>
    </row>
    <row r="185" spans="1:16">
      <c r="A185" t="str">
        <f t="shared" si="2"/>
        <v>&lt;tr&gt;&lt;td&gt;2020-Jan-16&lt;/td&gt;&lt;td&gt;Matchday 19&lt;/td&gt;&lt;td&gt;&lt;/td&gt;&lt;td&gt;Leeds United FC &lt;/td&gt;&lt;td&gt; - &lt;/td&gt;&lt;td&gt;&lt;/td&gt;&lt;td&gt;Brighton and Hove Albion FC&lt;/td&gt;&lt;/tr&gt;</v>
      </c>
      <c r="B185" t="s">
        <v>718</v>
      </c>
      <c r="C185" t="s">
        <v>702</v>
      </c>
      <c r="D185" t="s">
        <v>651</v>
      </c>
      <c r="E185" t="s">
        <v>226</v>
      </c>
      <c r="F185" t="s">
        <v>651</v>
      </c>
      <c r="G185" s="3" t="s">
        <v>476</v>
      </c>
      <c r="H185" t="s">
        <v>651</v>
      </c>
      <c r="I185" t="s">
        <v>531</v>
      </c>
      <c r="J185" t="s">
        <v>651</v>
      </c>
      <c r="K185" t="s">
        <v>478</v>
      </c>
      <c r="L185" t="s">
        <v>651</v>
      </c>
      <c r="M185" t="s">
        <v>476</v>
      </c>
      <c r="N185" t="s">
        <v>651</v>
      </c>
      <c r="O185" t="s">
        <v>652</v>
      </c>
      <c r="P185" t="s">
        <v>719</v>
      </c>
    </row>
    <row r="186" spans="1:16">
      <c r="A186" t="str">
        <f t="shared" si="2"/>
        <v>&lt;tr&gt;&lt;td&gt;2020-Jan-16&lt;/td&gt;&lt;td&gt;Matchday 19&lt;/td&gt;&lt;td&gt;&lt;/td&gt;&lt;td&gt;Leicester City FC &lt;/td&gt;&lt;td&gt; - &lt;/td&gt;&lt;td&gt;&lt;/td&gt;&lt;td&gt;Southampton FC&lt;/td&gt;&lt;/tr&gt;</v>
      </c>
      <c r="B186" t="s">
        <v>718</v>
      </c>
      <c r="C186" t="s">
        <v>702</v>
      </c>
      <c r="D186" t="s">
        <v>651</v>
      </c>
      <c r="E186" t="s">
        <v>226</v>
      </c>
      <c r="F186" t="s">
        <v>651</v>
      </c>
      <c r="G186" s="3" t="s">
        <v>476</v>
      </c>
      <c r="H186" t="s">
        <v>651</v>
      </c>
      <c r="I186" t="s">
        <v>532</v>
      </c>
      <c r="J186" t="s">
        <v>651</v>
      </c>
      <c r="K186" t="s">
        <v>478</v>
      </c>
      <c r="L186" t="s">
        <v>651</v>
      </c>
      <c r="M186" t="s">
        <v>476</v>
      </c>
      <c r="N186" t="s">
        <v>651</v>
      </c>
      <c r="O186" t="s">
        <v>488</v>
      </c>
      <c r="P186" t="s">
        <v>719</v>
      </c>
    </row>
    <row r="187" spans="1:16">
      <c r="A187" t="str">
        <f t="shared" si="2"/>
        <v>&lt;tr&gt;&lt;td&gt;2020-Jan-16&lt;/td&gt;&lt;td&gt;Matchday 19&lt;/td&gt;&lt;td&gt;&lt;/td&gt;&lt;td&gt;Liverpool FC &lt;/td&gt;&lt;td&gt; - &lt;/td&gt;&lt;td&gt;&lt;/td&gt;&lt;td&gt;Manchester United&lt;/td&gt;&lt;/tr&gt;</v>
      </c>
      <c r="B187" t="s">
        <v>718</v>
      </c>
      <c r="C187" t="s">
        <v>702</v>
      </c>
      <c r="D187" t="s">
        <v>651</v>
      </c>
      <c r="E187" t="s">
        <v>226</v>
      </c>
      <c r="F187" t="s">
        <v>651</v>
      </c>
      <c r="G187" s="3" t="s">
        <v>476</v>
      </c>
      <c r="H187" t="s">
        <v>651</v>
      </c>
      <c r="I187" t="s">
        <v>540</v>
      </c>
      <c r="J187" t="s">
        <v>651</v>
      </c>
      <c r="K187" t="s">
        <v>478</v>
      </c>
      <c r="L187" t="s">
        <v>651</v>
      </c>
      <c r="M187" t="s">
        <v>476</v>
      </c>
      <c r="N187" t="s">
        <v>651</v>
      </c>
      <c r="O187" t="s">
        <v>479</v>
      </c>
      <c r="P187" t="s">
        <v>719</v>
      </c>
    </row>
    <row r="188" spans="1:16">
      <c r="A188" t="str">
        <f t="shared" si="2"/>
        <v>&lt;tr&gt;&lt;td&gt;2020-Jan-16&lt;/td&gt;&lt;td&gt;Matchday 19&lt;/td&gt;&lt;td&gt;&lt;/td&gt;&lt;td&gt;Manchester City FC &lt;/td&gt;&lt;td&gt; - &lt;/td&gt;&lt;td&gt;&lt;/td&gt;&lt;td&gt;Crystal Palace FC&lt;/td&gt;&lt;/tr&gt;</v>
      </c>
      <c r="B188" t="s">
        <v>718</v>
      </c>
      <c r="C188" t="s">
        <v>702</v>
      </c>
      <c r="D188" t="s">
        <v>651</v>
      </c>
      <c r="E188" t="s">
        <v>226</v>
      </c>
      <c r="F188" t="s">
        <v>651</v>
      </c>
      <c r="G188" s="3" t="s">
        <v>476</v>
      </c>
      <c r="H188" t="s">
        <v>651</v>
      </c>
      <c r="I188" t="s">
        <v>480</v>
      </c>
      <c r="J188" t="s">
        <v>651</v>
      </c>
      <c r="K188" t="s">
        <v>478</v>
      </c>
      <c r="L188" t="s">
        <v>651</v>
      </c>
      <c r="M188" t="s">
        <v>476</v>
      </c>
      <c r="N188" t="s">
        <v>651</v>
      </c>
      <c r="O188" t="s">
        <v>486</v>
      </c>
      <c r="P188" t="s">
        <v>719</v>
      </c>
    </row>
    <row r="189" spans="1:16">
      <c r="A189" t="str">
        <f t="shared" si="2"/>
        <v>&lt;tr&gt;&lt;td&gt;2020-Jan-16&lt;/td&gt;&lt;td&gt;Matchday 19&lt;/td&gt;&lt;td&gt;&lt;/td&gt;&lt;td&gt;Sheffield United FC &lt;/td&gt;&lt;td&gt; - &lt;/td&gt;&lt;td&gt;&lt;/td&gt;&lt;td&gt;Tottenham Hotspur FC&lt;/td&gt;&lt;/tr&gt;</v>
      </c>
      <c r="B189" t="s">
        <v>718</v>
      </c>
      <c r="C189" t="s">
        <v>702</v>
      </c>
      <c r="D189" t="s">
        <v>651</v>
      </c>
      <c r="E189" t="s">
        <v>226</v>
      </c>
      <c r="F189" t="s">
        <v>651</v>
      </c>
      <c r="G189" s="3" t="s">
        <v>476</v>
      </c>
      <c r="H189" t="s">
        <v>651</v>
      </c>
      <c r="I189" t="s">
        <v>534</v>
      </c>
      <c r="J189" t="s">
        <v>651</v>
      </c>
      <c r="K189" t="s">
        <v>478</v>
      </c>
      <c r="L189" t="s">
        <v>651</v>
      </c>
      <c r="M189" t="s">
        <v>476</v>
      </c>
      <c r="N189" t="s">
        <v>651</v>
      </c>
      <c r="O189" t="s">
        <v>499</v>
      </c>
      <c r="P189" t="s">
        <v>719</v>
      </c>
    </row>
    <row r="190" spans="1:16">
      <c r="A190" t="str">
        <f t="shared" si="2"/>
        <v>&lt;tr&gt;&lt;td&gt;2020-Jan-16&lt;/td&gt;&lt;td&gt;Matchday 19&lt;/td&gt;&lt;td&gt;&lt;/td&gt;&lt;td&gt;West Ham United FC &lt;/td&gt;&lt;td&gt; - &lt;/td&gt;&lt;td&gt;&lt;/td&gt;&lt;td&gt;Burnley FC&lt;/td&gt;&lt;/tr&gt;</v>
      </c>
      <c r="B190" t="s">
        <v>718</v>
      </c>
      <c r="C190" t="s">
        <v>702</v>
      </c>
      <c r="D190" t="s">
        <v>651</v>
      </c>
      <c r="E190" t="s">
        <v>226</v>
      </c>
      <c r="F190" t="s">
        <v>651</v>
      </c>
      <c r="G190" s="3" t="s">
        <v>476</v>
      </c>
      <c r="H190" t="s">
        <v>651</v>
      </c>
      <c r="I190" t="s">
        <v>543</v>
      </c>
      <c r="J190" t="s">
        <v>651</v>
      </c>
      <c r="K190" t="s">
        <v>478</v>
      </c>
      <c r="L190" t="s">
        <v>651</v>
      </c>
      <c r="M190" t="s">
        <v>476</v>
      </c>
      <c r="N190" t="s">
        <v>651</v>
      </c>
      <c r="O190" t="s">
        <v>511</v>
      </c>
      <c r="P190" t="s">
        <v>719</v>
      </c>
    </row>
    <row r="191" spans="1:16">
      <c r="A191" t="str">
        <f t="shared" si="2"/>
        <v>&lt;tr&gt;&lt;td&gt;2020-Jan-16&lt;/td&gt;&lt;td&gt;Matchday 19&lt;/td&gt;&lt;td&gt;&lt;/td&gt;&lt;td&gt;Wolverhampton Wanderers FC &lt;/td&gt;&lt;td&gt; - &lt;/td&gt;&lt;td&gt;&lt;/td&gt;&lt;td&gt;West Bromwich Albion FC&lt;/td&gt;&lt;/tr&gt;</v>
      </c>
      <c r="B191" t="s">
        <v>718</v>
      </c>
      <c r="C191" t="s">
        <v>702</v>
      </c>
      <c r="D191" t="s">
        <v>651</v>
      </c>
      <c r="E191" t="s">
        <v>226</v>
      </c>
      <c r="F191" t="s">
        <v>651</v>
      </c>
      <c r="G191" s="3" t="s">
        <v>476</v>
      </c>
      <c r="H191" t="s">
        <v>651</v>
      </c>
      <c r="I191" t="s">
        <v>544</v>
      </c>
      <c r="J191" t="s">
        <v>651</v>
      </c>
      <c r="K191" t="s">
        <v>478</v>
      </c>
      <c r="L191" t="s">
        <v>651</v>
      </c>
      <c r="M191" t="s">
        <v>476</v>
      </c>
      <c r="N191" t="s">
        <v>651</v>
      </c>
      <c r="O191" t="s">
        <v>497</v>
      </c>
      <c r="P191" t="s">
        <v>719</v>
      </c>
    </row>
    <row r="192" spans="1:16">
      <c r="A192" t="str">
        <f t="shared" si="2"/>
        <v>&lt;tr&gt;&lt;td&gt;2020-Jan-26&lt;/td&gt;&lt;td&gt;Matchday 20&lt;/td&gt;&lt;td&gt;0,822916666666667&lt;/td&gt;&lt;td&gt;Brighton and Hove Albion FC&lt;/td&gt;&lt;td&gt; - &lt;/td&gt;&lt;td&gt;&lt;/td&gt;&lt;td&gt;FC&lt;/td&gt;&lt;/tr&gt;</v>
      </c>
      <c r="B192" t="s">
        <v>718</v>
      </c>
      <c r="C192" t="s">
        <v>679</v>
      </c>
      <c r="D192" t="s">
        <v>651</v>
      </c>
      <c r="E192" t="s">
        <v>238</v>
      </c>
      <c r="F192" t="s">
        <v>651</v>
      </c>
      <c r="G192" s="3">
        <v>0.82291666666666663</v>
      </c>
      <c r="H192" t="s">
        <v>651</v>
      </c>
      <c r="I192" t="s">
        <v>652</v>
      </c>
      <c r="J192" t="s">
        <v>651</v>
      </c>
      <c r="K192" t="s">
        <v>478</v>
      </c>
      <c r="L192" t="s">
        <v>651</v>
      </c>
      <c r="M192" t="s">
        <v>476</v>
      </c>
      <c r="N192" t="s">
        <v>651</v>
      </c>
      <c r="O192" t="s">
        <v>556</v>
      </c>
      <c r="P192" t="s">
        <v>719</v>
      </c>
    </row>
    <row r="193" spans="1:16">
      <c r="A193" t="str">
        <f t="shared" si="2"/>
        <v>&lt;tr&gt;&lt;td&gt;2020-Jan-26&lt;/td&gt;&lt;td&gt;Matchday 20&lt;/td&gt;&lt;td&gt;&lt;/td&gt;&lt;td&gt;       Burnley FC &lt;/td&gt;&lt;td&gt; - &lt;/td&gt;&lt;td&gt;&lt;/td&gt;&lt;td&gt;Aston Villa FC&lt;/td&gt;&lt;/tr&gt;</v>
      </c>
      <c r="B193" t="s">
        <v>718</v>
      </c>
      <c r="C193" t="s">
        <v>679</v>
      </c>
      <c r="D193" t="s">
        <v>651</v>
      </c>
      <c r="E193" t="s">
        <v>238</v>
      </c>
      <c r="F193" t="s">
        <v>651</v>
      </c>
      <c r="G193" s="3" t="s">
        <v>476</v>
      </c>
      <c r="H193" t="s">
        <v>651</v>
      </c>
      <c r="I193" t="s">
        <v>557</v>
      </c>
      <c r="J193" t="s">
        <v>651</v>
      </c>
      <c r="K193" t="s">
        <v>478</v>
      </c>
      <c r="L193" t="s">
        <v>651</v>
      </c>
      <c r="M193" t="s">
        <v>476</v>
      </c>
      <c r="N193" t="s">
        <v>651</v>
      </c>
      <c r="O193" t="s">
        <v>481</v>
      </c>
      <c r="P193" t="s">
        <v>719</v>
      </c>
    </row>
    <row r="194" spans="1:16">
      <c r="A194" t="str">
        <f t="shared" si="2"/>
        <v>&lt;tr&gt;&lt;td&gt;2020-Jan-26&lt;/td&gt;&lt;td&gt;Matchday 20&lt;/td&gt;&lt;td&gt;&lt;/td&gt;&lt;td&gt;       Everton FC &lt;/td&gt;&lt;td&gt; - &lt;/td&gt;&lt;td&gt;&lt;/td&gt;&lt;td&gt;Leicester City FC&lt;/td&gt;&lt;/tr&gt;</v>
      </c>
      <c r="B194" t="s">
        <v>718</v>
      </c>
      <c r="C194" t="s">
        <v>679</v>
      </c>
      <c r="D194" t="s">
        <v>651</v>
      </c>
      <c r="E194" t="s">
        <v>238</v>
      </c>
      <c r="F194" t="s">
        <v>651</v>
      </c>
      <c r="G194" s="3" t="s">
        <v>476</v>
      </c>
      <c r="H194" t="s">
        <v>651</v>
      </c>
      <c r="I194" t="s">
        <v>558</v>
      </c>
      <c r="J194" t="s">
        <v>651</v>
      </c>
      <c r="K194" t="s">
        <v>478</v>
      </c>
      <c r="L194" t="s">
        <v>651</v>
      </c>
      <c r="M194" t="s">
        <v>476</v>
      </c>
      <c r="N194" t="s">
        <v>651</v>
      </c>
      <c r="O194" t="s">
        <v>498</v>
      </c>
      <c r="P194" t="s">
        <v>719</v>
      </c>
    </row>
    <row r="195" spans="1:16">
      <c r="A195" t="str">
        <f t="shared" ref="A195:A258" si="3">CONCATENATE(B195,C195,D195,E195,F195,G195,H195,I195,J195,K195,L195,M195,N195,O195,P195)</f>
        <v>&lt;tr&gt;&lt;td&gt;2020-Jan-26&lt;/td&gt;&lt;td&gt;Matchday 20&lt;/td&gt;&lt;td&gt;0,833333333333333&lt;/td&gt;&lt;td&gt;Manchester United   &lt;/td&gt;&lt;td&gt; - &lt;/td&gt;&lt;td&gt;&lt;/td&gt;&lt;td&gt;ld United FC&lt;/td&gt;&lt;/tr&gt;</v>
      </c>
      <c r="B195" t="s">
        <v>718</v>
      </c>
      <c r="C195" t="s">
        <v>679</v>
      </c>
      <c r="D195" t="s">
        <v>651</v>
      </c>
      <c r="E195" t="s">
        <v>238</v>
      </c>
      <c r="F195" t="s">
        <v>651</v>
      </c>
      <c r="G195" s="3">
        <v>0.83333333333333337</v>
      </c>
      <c r="H195" t="s">
        <v>651</v>
      </c>
      <c r="I195" t="s">
        <v>507</v>
      </c>
      <c r="J195" t="s">
        <v>651</v>
      </c>
      <c r="K195" t="s">
        <v>478</v>
      </c>
      <c r="L195" t="s">
        <v>651</v>
      </c>
      <c r="M195" t="s">
        <v>476</v>
      </c>
      <c r="N195" t="s">
        <v>651</v>
      </c>
      <c r="O195" t="s">
        <v>559</v>
      </c>
      <c r="P195" t="s">
        <v>719</v>
      </c>
    </row>
    <row r="196" spans="1:16">
      <c r="A196" t="str">
        <f t="shared" si="3"/>
        <v>&lt;tr&gt;&lt;td&gt;2020-Jan-26&lt;/td&gt;&lt;td&gt;Matchday 20&lt;/td&gt;&lt;td&gt;&lt;/td&gt;&lt;td&gt;       West Bromwich Albion FC &lt;/td&gt;&lt;td&gt; - &lt;/td&gt;&lt;td&gt;&lt;/td&gt;&lt;td&gt;Manchester City FC&lt;/td&gt;&lt;/tr&gt;</v>
      </c>
      <c r="B196" t="s">
        <v>718</v>
      </c>
      <c r="C196" t="s">
        <v>679</v>
      </c>
      <c r="D196" t="s">
        <v>651</v>
      </c>
      <c r="E196" t="s">
        <v>238</v>
      </c>
      <c r="F196" t="s">
        <v>651</v>
      </c>
      <c r="G196" s="3" t="s">
        <v>476</v>
      </c>
      <c r="H196" t="s">
        <v>651</v>
      </c>
      <c r="I196" t="s">
        <v>560</v>
      </c>
      <c r="J196" t="s">
        <v>651</v>
      </c>
      <c r="K196" t="s">
        <v>478</v>
      </c>
      <c r="L196" t="s">
        <v>651</v>
      </c>
      <c r="M196" t="s">
        <v>476</v>
      </c>
      <c r="N196" t="s">
        <v>651</v>
      </c>
      <c r="O196" t="s">
        <v>512</v>
      </c>
      <c r="P196" t="s">
        <v>719</v>
      </c>
    </row>
    <row r="197" spans="1:16">
      <c r="A197" t="str">
        <f t="shared" si="3"/>
        <v>&lt;tr&gt;&lt;td&gt;2020-Jan-27&lt;/td&gt;&lt;td&gt;Matchday 20&lt;/td&gt;&lt;td&gt;0,822916666666667&lt;/td&gt;&lt;td&gt;Chelsea FC&lt;/td&gt;&lt;td&gt; - &lt;/td&gt;&lt;td&gt;&lt;/td&gt;&lt;td&gt;ampton Wanderers FC&lt;/td&gt;&lt;/tr&gt;</v>
      </c>
      <c r="B197" t="s">
        <v>718</v>
      </c>
      <c r="C197" t="s">
        <v>684</v>
      </c>
      <c r="D197" t="s">
        <v>651</v>
      </c>
      <c r="E197" t="s">
        <v>238</v>
      </c>
      <c r="F197" t="s">
        <v>651</v>
      </c>
      <c r="G197" s="3">
        <v>0.82291666666666663</v>
      </c>
      <c r="H197" t="s">
        <v>651</v>
      </c>
      <c r="I197" t="s">
        <v>504</v>
      </c>
      <c r="J197" t="s">
        <v>651</v>
      </c>
      <c r="K197" t="s">
        <v>478</v>
      </c>
      <c r="L197" t="s">
        <v>651</v>
      </c>
      <c r="M197" t="s">
        <v>476</v>
      </c>
      <c r="N197" t="s">
        <v>651</v>
      </c>
      <c r="O197" t="s">
        <v>561</v>
      </c>
      <c r="P197" t="s">
        <v>719</v>
      </c>
    </row>
    <row r="198" spans="1:16">
      <c r="A198" t="str">
        <f t="shared" si="3"/>
        <v>&lt;tr&gt;&lt;td&gt;2020-Jan-27&lt;/td&gt;&lt;td&gt;Matchday 20&lt;/td&gt;&lt;td&gt;&lt;/td&gt;&lt;td&gt;       Newcastle United FC &lt;/td&gt;&lt;td&gt; - &lt;/td&gt;&lt;td&gt;&lt;/td&gt;&lt;td&gt;Leeds United FC&lt;/td&gt;&lt;/tr&gt;</v>
      </c>
      <c r="B198" t="s">
        <v>718</v>
      </c>
      <c r="C198" t="s">
        <v>684</v>
      </c>
      <c r="D198" t="s">
        <v>651</v>
      </c>
      <c r="E198" t="s">
        <v>238</v>
      </c>
      <c r="F198" t="s">
        <v>651</v>
      </c>
      <c r="G198" s="3" t="s">
        <v>476</v>
      </c>
      <c r="H198" t="s">
        <v>651</v>
      </c>
      <c r="I198" t="s">
        <v>562</v>
      </c>
      <c r="J198" t="s">
        <v>651</v>
      </c>
      <c r="K198" t="s">
        <v>478</v>
      </c>
      <c r="L198" t="s">
        <v>651</v>
      </c>
      <c r="M198" t="s">
        <v>476</v>
      </c>
      <c r="N198" t="s">
        <v>651</v>
      </c>
      <c r="O198" t="s">
        <v>492</v>
      </c>
      <c r="P198" t="s">
        <v>719</v>
      </c>
    </row>
    <row r="199" spans="1:16">
      <c r="A199" t="str">
        <f t="shared" si="3"/>
        <v>&lt;tr&gt;&lt;td&gt;2020-Jan-27&lt;/td&gt;&lt;td&gt;Matchday 20&lt;/td&gt;&lt;td&gt;&lt;/td&gt;&lt;td&gt;       Southampton FC &lt;/td&gt;&lt;td&gt; - &lt;/td&gt;&lt;td&gt;&lt;/td&gt;&lt;td&gt;Arsenal FC&lt;/td&gt;&lt;/tr&gt;</v>
      </c>
      <c r="B199" t="s">
        <v>718</v>
      </c>
      <c r="C199" t="s">
        <v>684</v>
      </c>
      <c r="D199" t="s">
        <v>651</v>
      </c>
      <c r="E199" t="s">
        <v>238</v>
      </c>
      <c r="F199" t="s">
        <v>651</v>
      </c>
      <c r="G199" s="3" t="s">
        <v>476</v>
      </c>
      <c r="H199" t="s">
        <v>651</v>
      </c>
      <c r="I199" t="s">
        <v>519</v>
      </c>
      <c r="J199" t="s">
        <v>651</v>
      </c>
      <c r="K199" t="s">
        <v>478</v>
      </c>
      <c r="L199" t="s">
        <v>651</v>
      </c>
      <c r="M199" t="s">
        <v>476</v>
      </c>
      <c r="N199" t="s">
        <v>651</v>
      </c>
      <c r="O199" t="s">
        <v>485</v>
      </c>
      <c r="P199" t="s">
        <v>719</v>
      </c>
    </row>
    <row r="200" spans="1:16">
      <c r="A200" t="str">
        <f t="shared" si="3"/>
        <v>&lt;tr&gt;&lt;td&gt;2020-Jan-27&lt;/td&gt;&lt;td&gt;Matchday 20&lt;/td&gt;&lt;td&gt;&lt;/td&gt;&lt;td&gt;       Tottenham Hotspur FC &lt;/td&gt;&lt;td&gt; - &lt;/td&gt;&lt;td&gt;&lt;/td&gt;&lt;td&gt;Liverpool FC&lt;/td&gt;&lt;/tr&gt;</v>
      </c>
      <c r="B200" t="s">
        <v>718</v>
      </c>
      <c r="C200" t="s">
        <v>684</v>
      </c>
      <c r="D200" t="s">
        <v>651</v>
      </c>
      <c r="E200" t="s">
        <v>238</v>
      </c>
      <c r="F200" t="s">
        <v>651</v>
      </c>
      <c r="G200" s="3" t="s">
        <v>476</v>
      </c>
      <c r="H200" t="s">
        <v>651</v>
      </c>
      <c r="I200" t="s">
        <v>563</v>
      </c>
      <c r="J200" t="s">
        <v>651</v>
      </c>
      <c r="K200" t="s">
        <v>478</v>
      </c>
      <c r="L200" t="s">
        <v>651</v>
      </c>
      <c r="M200" t="s">
        <v>476</v>
      </c>
      <c r="N200" t="s">
        <v>651</v>
      </c>
      <c r="O200" t="s">
        <v>489</v>
      </c>
      <c r="P200" t="s">
        <v>719</v>
      </c>
    </row>
    <row r="201" spans="1:16">
      <c r="A201" t="str">
        <f t="shared" si="3"/>
        <v>&lt;tr&gt;&lt;td&gt;2020-Jan-27&lt;/td&gt;&lt;td&gt;Matchday 20&lt;/td&gt;&lt;td&gt;0,833333333333333&lt;/td&gt;&lt;td&gt;Crystal Palace FC&lt;/td&gt;&lt;td&gt; - &lt;/td&gt;&lt;td&gt;&lt;/td&gt;&lt;td&gt;m United FC&lt;/td&gt;&lt;/tr&gt;</v>
      </c>
      <c r="B201" t="s">
        <v>718</v>
      </c>
      <c r="C201" t="s">
        <v>684</v>
      </c>
      <c r="D201" t="s">
        <v>651</v>
      </c>
      <c r="E201" t="s">
        <v>238</v>
      </c>
      <c r="F201" t="s">
        <v>651</v>
      </c>
      <c r="G201" s="3">
        <v>0.83333333333333337</v>
      </c>
      <c r="H201" t="s">
        <v>651</v>
      </c>
      <c r="I201" t="s">
        <v>486</v>
      </c>
      <c r="J201" t="s">
        <v>651</v>
      </c>
      <c r="K201" t="s">
        <v>478</v>
      </c>
      <c r="L201" t="s">
        <v>651</v>
      </c>
      <c r="M201" t="s">
        <v>476</v>
      </c>
      <c r="N201" t="s">
        <v>651</v>
      </c>
      <c r="O201" t="s">
        <v>564</v>
      </c>
      <c r="P201" t="s">
        <v>719</v>
      </c>
    </row>
    <row r="202" spans="1:16">
      <c r="A202" t="str">
        <f t="shared" si="3"/>
        <v>&lt;tr&gt;&lt;td&gt;2020-Jan-30&lt;/td&gt;&lt;td&gt;Matchday 21&lt;/td&gt;&lt;td&gt;&lt;/td&gt;&lt;td&gt;Arsenal FC &lt;/td&gt;&lt;td&gt; - &lt;/td&gt;&lt;td&gt;&lt;/td&gt;&lt;td&gt;Manchester United&lt;/td&gt;&lt;/tr&gt;</v>
      </c>
      <c r="B202" t="s">
        <v>718</v>
      </c>
      <c r="C202" t="s">
        <v>703</v>
      </c>
      <c r="D202" t="s">
        <v>651</v>
      </c>
      <c r="E202" t="s">
        <v>251</v>
      </c>
      <c r="F202" t="s">
        <v>651</v>
      </c>
      <c r="G202" s="3" t="s">
        <v>476</v>
      </c>
      <c r="H202" t="s">
        <v>651</v>
      </c>
      <c r="I202" t="s">
        <v>537</v>
      </c>
      <c r="J202" t="s">
        <v>651</v>
      </c>
      <c r="K202" t="s">
        <v>478</v>
      </c>
      <c r="L202" t="s">
        <v>651</v>
      </c>
      <c r="M202" t="s">
        <v>476</v>
      </c>
      <c r="N202" t="s">
        <v>651</v>
      </c>
      <c r="O202" t="s">
        <v>479</v>
      </c>
      <c r="P202" t="s">
        <v>719</v>
      </c>
    </row>
    <row r="203" spans="1:16">
      <c r="A203" t="str">
        <f t="shared" si="3"/>
        <v>&lt;tr&gt;&lt;td&gt;2020-Jan-30&lt;/td&gt;&lt;td&gt;Matchday 21&lt;/td&gt;&lt;td&gt;&lt;/td&gt;&lt;td&gt;Brighton and Hove Albion FC &lt;/td&gt;&lt;td&gt; - &lt;/td&gt;&lt;td&gt;&lt;/td&gt;&lt;td&gt;Tottenham Hotspur FC&lt;/td&gt;&lt;/tr&gt;</v>
      </c>
      <c r="B203" t="s">
        <v>718</v>
      </c>
      <c r="C203" t="s">
        <v>703</v>
      </c>
      <c r="D203" t="s">
        <v>651</v>
      </c>
      <c r="E203" t="s">
        <v>251</v>
      </c>
      <c r="F203" t="s">
        <v>651</v>
      </c>
      <c r="G203" s="3" t="s">
        <v>476</v>
      </c>
      <c r="H203" t="s">
        <v>651</v>
      </c>
      <c r="I203" t="s">
        <v>654</v>
      </c>
      <c r="J203" t="s">
        <v>651</v>
      </c>
      <c r="K203" t="s">
        <v>478</v>
      </c>
      <c r="L203" t="s">
        <v>651</v>
      </c>
      <c r="M203" t="s">
        <v>476</v>
      </c>
      <c r="N203" t="s">
        <v>651</v>
      </c>
      <c r="O203" t="s">
        <v>499</v>
      </c>
      <c r="P203" t="s">
        <v>719</v>
      </c>
    </row>
    <row r="204" spans="1:16">
      <c r="A204" t="str">
        <f t="shared" si="3"/>
        <v>&lt;tr&gt;&lt;td&gt;2020-Jan-30&lt;/td&gt;&lt;td&gt;Matchday 21&lt;/td&gt;&lt;td&gt;&lt;/td&gt;&lt;td&gt;Chelsea FC &lt;/td&gt;&lt;td&gt; - &lt;/td&gt;&lt;td&gt;&lt;/td&gt;&lt;td&gt;Burnley FC&lt;/td&gt;&lt;/tr&gt;</v>
      </c>
      <c r="B204" t="s">
        <v>718</v>
      </c>
      <c r="C204" t="s">
        <v>703</v>
      </c>
      <c r="D204" t="s">
        <v>651</v>
      </c>
      <c r="E204" t="s">
        <v>251</v>
      </c>
      <c r="F204" t="s">
        <v>651</v>
      </c>
      <c r="G204" s="3" t="s">
        <v>476</v>
      </c>
      <c r="H204" t="s">
        <v>651</v>
      </c>
      <c r="I204" t="s">
        <v>528</v>
      </c>
      <c r="J204" t="s">
        <v>651</v>
      </c>
      <c r="K204" t="s">
        <v>478</v>
      </c>
      <c r="L204" t="s">
        <v>651</v>
      </c>
      <c r="M204" t="s">
        <v>476</v>
      </c>
      <c r="N204" t="s">
        <v>651</v>
      </c>
      <c r="O204" t="s">
        <v>511</v>
      </c>
      <c r="P204" t="s">
        <v>719</v>
      </c>
    </row>
    <row r="205" spans="1:16">
      <c r="A205" t="str">
        <f t="shared" si="3"/>
        <v>&lt;tr&gt;&lt;td&gt;2020-Jan-30&lt;/td&gt;&lt;td&gt;Matchday 21&lt;/td&gt;&lt;td&gt;&lt;/td&gt;&lt;td&gt;Crystal Palace FC &lt;/td&gt;&lt;td&gt; - &lt;/td&gt;&lt;td&gt;&lt;/td&gt;&lt;td&gt;Wolverhampton Wanderers FC&lt;/td&gt;&lt;/tr&gt;</v>
      </c>
      <c r="B205" t="s">
        <v>718</v>
      </c>
      <c r="C205" t="s">
        <v>703</v>
      </c>
      <c r="D205" t="s">
        <v>651</v>
      </c>
      <c r="E205" t="s">
        <v>251</v>
      </c>
      <c r="F205" t="s">
        <v>651</v>
      </c>
      <c r="G205" s="3" t="s">
        <v>476</v>
      </c>
      <c r="H205" t="s">
        <v>651</v>
      </c>
      <c r="I205" t="s">
        <v>529</v>
      </c>
      <c r="J205" t="s">
        <v>651</v>
      </c>
      <c r="K205" t="s">
        <v>478</v>
      </c>
      <c r="L205" t="s">
        <v>651</v>
      </c>
      <c r="M205" t="s">
        <v>476</v>
      </c>
      <c r="N205" t="s">
        <v>651</v>
      </c>
      <c r="O205" t="s">
        <v>502</v>
      </c>
      <c r="P205" t="s">
        <v>719</v>
      </c>
    </row>
    <row r="206" spans="1:16">
      <c r="A206" t="str">
        <f t="shared" si="3"/>
        <v>&lt;tr&gt;&lt;td&gt;2020-Jan-30&lt;/td&gt;&lt;td&gt;Matchday 21&lt;/td&gt;&lt;td&gt;&lt;/td&gt;&lt;td&gt;Everton FC &lt;/td&gt;&lt;td&gt; - &lt;/td&gt;&lt;td&gt;&lt;/td&gt;&lt;td&gt;Newcastle United FC&lt;/td&gt;&lt;/tr&gt;</v>
      </c>
      <c r="B206" t="s">
        <v>718</v>
      </c>
      <c r="C206" t="s">
        <v>703</v>
      </c>
      <c r="D206" t="s">
        <v>651</v>
      </c>
      <c r="E206" t="s">
        <v>251</v>
      </c>
      <c r="F206" t="s">
        <v>651</v>
      </c>
      <c r="G206" s="3" t="s">
        <v>476</v>
      </c>
      <c r="H206" t="s">
        <v>651</v>
      </c>
      <c r="I206" t="s">
        <v>530</v>
      </c>
      <c r="J206" t="s">
        <v>651</v>
      </c>
      <c r="K206" t="s">
        <v>478</v>
      </c>
      <c r="L206" t="s">
        <v>651</v>
      </c>
      <c r="M206" t="s">
        <v>476</v>
      </c>
      <c r="N206" t="s">
        <v>651</v>
      </c>
      <c r="O206" t="s">
        <v>496</v>
      </c>
      <c r="P206" t="s">
        <v>719</v>
      </c>
    </row>
    <row r="207" spans="1:16">
      <c r="A207" t="str">
        <f t="shared" si="3"/>
        <v>&lt;tr&gt;&lt;td&gt;2020-Jan-30&lt;/td&gt;&lt;td&gt;Matchday 21&lt;/td&gt;&lt;td&gt;&lt;/td&gt;&lt;td&gt;Leicester City FC &lt;/td&gt;&lt;td&gt; - &lt;/td&gt;&lt;td&gt;&lt;/td&gt;&lt;td&gt;Leeds United FC&lt;/td&gt;&lt;/tr&gt;</v>
      </c>
      <c r="B207" t="s">
        <v>718</v>
      </c>
      <c r="C207" t="s">
        <v>703</v>
      </c>
      <c r="D207" t="s">
        <v>651</v>
      </c>
      <c r="E207" t="s">
        <v>251</v>
      </c>
      <c r="F207" t="s">
        <v>651</v>
      </c>
      <c r="G207" s="3" t="s">
        <v>476</v>
      </c>
      <c r="H207" t="s">
        <v>651</v>
      </c>
      <c r="I207" t="s">
        <v>532</v>
      </c>
      <c r="J207" t="s">
        <v>651</v>
      </c>
      <c r="K207" t="s">
        <v>478</v>
      </c>
      <c r="L207" t="s">
        <v>651</v>
      </c>
      <c r="M207" t="s">
        <v>476</v>
      </c>
      <c r="N207" t="s">
        <v>651</v>
      </c>
      <c r="O207" t="s">
        <v>492</v>
      </c>
      <c r="P207" t="s">
        <v>719</v>
      </c>
    </row>
    <row r="208" spans="1:16">
      <c r="A208" t="str">
        <f t="shared" si="3"/>
        <v>&lt;tr&gt;&lt;td&gt;2020-Jan-30&lt;/td&gt;&lt;td&gt;Matchday 21&lt;/td&gt;&lt;td&gt;&lt;/td&gt;&lt;td&gt;Manchester City FC &lt;/td&gt;&lt;td&gt; - &lt;/td&gt;&lt;td&gt;&lt;/td&gt;&lt;td&gt;Sheffield United FC&lt;/td&gt;&lt;/tr&gt;</v>
      </c>
      <c r="B208" t="s">
        <v>718</v>
      </c>
      <c r="C208" t="s">
        <v>703</v>
      </c>
      <c r="D208" t="s">
        <v>651</v>
      </c>
      <c r="E208" t="s">
        <v>251</v>
      </c>
      <c r="F208" t="s">
        <v>651</v>
      </c>
      <c r="G208" s="3" t="s">
        <v>476</v>
      </c>
      <c r="H208" t="s">
        <v>651</v>
      </c>
      <c r="I208" t="s">
        <v>480</v>
      </c>
      <c r="J208" t="s">
        <v>651</v>
      </c>
      <c r="K208" t="s">
        <v>478</v>
      </c>
      <c r="L208" t="s">
        <v>651</v>
      </c>
      <c r="M208" t="s">
        <v>476</v>
      </c>
      <c r="N208" t="s">
        <v>651</v>
      </c>
      <c r="O208" t="s">
        <v>501</v>
      </c>
      <c r="P208" t="s">
        <v>719</v>
      </c>
    </row>
    <row r="209" spans="1:16">
      <c r="A209" t="str">
        <f t="shared" si="3"/>
        <v>&lt;tr&gt;&lt;td&gt;2020-Jan-30&lt;/td&gt;&lt;td&gt;Matchday 21&lt;/td&gt;&lt;td&gt;&lt;/td&gt;&lt;td&gt;Southampton FC &lt;/td&gt;&lt;td&gt; - &lt;/td&gt;&lt;td&gt;&lt;/td&gt;&lt;td&gt;Aston Villa FC&lt;/td&gt;&lt;/tr&gt;</v>
      </c>
      <c r="B209" t="s">
        <v>718</v>
      </c>
      <c r="C209" t="s">
        <v>703</v>
      </c>
      <c r="D209" t="s">
        <v>651</v>
      </c>
      <c r="E209" t="s">
        <v>251</v>
      </c>
      <c r="F209" t="s">
        <v>651</v>
      </c>
      <c r="G209" s="3" t="s">
        <v>476</v>
      </c>
      <c r="H209" t="s">
        <v>651</v>
      </c>
      <c r="I209" t="s">
        <v>542</v>
      </c>
      <c r="J209" t="s">
        <v>651</v>
      </c>
      <c r="K209" t="s">
        <v>478</v>
      </c>
      <c r="L209" t="s">
        <v>651</v>
      </c>
      <c r="M209" t="s">
        <v>476</v>
      </c>
      <c r="N209" t="s">
        <v>651</v>
      </c>
      <c r="O209" t="s">
        <v>481</v>
      </c>
      <c r="P209" t="s">
        <v>719</v>
      </c>
    </row>
    <row r="210" spans="1:16">
      <c r="A210" t="str">
        <f t="shared" si="3"/>
        <v>&lt;tr&gt;&lt;td&gt;2020-Jan-30&lt;/td&gt;&lt;td&gt;Matchday 21&lt;/td&gt;&lt;td&gt;&lt;/td&gt;&lt;td&gt;West Bromwich Albion FC &lt;/td&gt;&lt;td&gt; - &lt;/td&gt;&lt;td&gt;&lt;/td&gt;&lt;td&gt;Fulham FC&lt;/td&gt;&lt;/tr&gt;</v>
      </c>
      <c r="B210" t="s">
        <v>718</v>
      </c>
      <c r="C210" t="s">
        <v>703</v>
      </c>
      <c r="D210" t="s">
        <v>651</v>
      </c>
      <c r="E210" t="s">
        <v>251</v>
      </c>
      <c r="F210" t="s">
        <v>651</v>
      </c>
      <c r="G210" s="3" t="s">
        <v>476</v>
      </c>
      <c r="H210" t="s">
        <v>651</v>
      </c>
      <c r="I210" t="s">
        <v>536</v>
      </c>
      <c r="J210" t="s">
        <v>651</v>
      </c>
      <c r="K210" t="s">
        <v>478</v>
      </c>
      <c r="L210" t="s">
        <v>651</v>
      </c>
      <c r="M210" t="s">
        <v>476</v>
      </c>
      <c r="N210" t="s">
        <v>651</v>
      </c>
      <c r="O210" t="s">
        <v>482</v>
      </c>
      <c r="P210" t="s">
        <v>719</v>
      </c>
    </row>
    <row r="211" spans="1:16">
      <c r="A211" t="str">
        <f t="shared" si="3"/>
        <v>&lt;tr&gt;&lt;td&gt;2020-Jan-30&lt;/td&gt;&lt;td&gt;Matchday 21&lt;/td&gt;&lt;td&gt;&lt;/td&gt;&lt;td&gt;West Ham United FC &lt;/td&gt;&lt;td&gt; - &lt;/td&gt;&lt;td&gt;&lt;/td&gt;&lt;td&gt;Liverpool FC&lt;/td&gt;&lt;/tr&gt;</v>
      </c>
      <c r="B211" t="s">
        <v>718</v>
      </c>
      <c r="C211" t="s">
        <v>703</v>
      </c>
      <c r="D211" t="s">
        <v>651</v>
      </c>
      <c r="E211" t="s">
        <v>251</v>
      </c>
      <c r="F211" t="s">
        <v>651</v>
      </c>
      <c r="G211" s="3" t="s">
        <v>476</v>
      </c>
      <c r="H211" t="s">
        <v>651</v>
      </c>
      <c r="I211" t="s">
        <v>543</v>
      </c>
      <c r="J211" t="s">
        <v>651</v>
      </c>
      <c r="K211" t="s">
        <v>478</v>
      </c>
      <c r="L211" t="s">
        <v>651</v>
      </c>
      <c r="M211" t="s">
        <v>476</v>
      </c>
      <c r="N211" t="s">
        <v>651</v>
      </c>
      <c r="O211" t="s">
        <v>489</v>
      </c>
      <c r="P211" t="s">
        <v>719</v>
      </c>
    </row>
    <row r="212" spans="1:16">
      <c r="A212" t="str">
        <f t="shared" si="3"/>
        <v>&lt;tr&gt;&lt;td&gt;2020-Feb-2&lt;/td&gt;&lt;td&gt;Matchday 22&lt;/td&gt;&lt;td&gt;0,822916666666667&lt;/td&gt;&lt;td&gt;Aston Villa FC&lt;/td&gt;&lt;td&gt; - &lt;/td&gt;&lt;td&gt;&lt;/td&gt;&lt;td&gt;m United FC&lt;/td&gt;&lt;/tr&gt;</v>
      </c>
      <c r="B212" t="s">
        <v>718</v>
      </c>
      <c r="C212" t="s">
        <v>680</v>
      </c>
      <c r="D212" t="s">
        <v>651</v>
      </c>
      <c r="E212" t="s">
        <v>263</v>
      </c>
      <c r="F212" t="s">
        <v>651</v>
      </c>
      <c r="G212" s="3">
        <v>0.82291666666666663</v>
      </c>
      <c r="H212" t="s">
        <v>651</v>
      </c>
      <c r="I212" t="s">
        <v>481</v>
      </c>
      <c r="J212" t="s">
        <v>651</v>
      </c>
      <c r="K212" t="s">
        <v>478</v>
      </c>
      <c r="L212" t="s">
        <v>651</v>
      </c>
      <c r="M212" t="s">
        <v>476</v>
      </c>
      <c r="N212" t="s">
        <v>651</v>
      </c>
      <c r="O212" t="s">
        <v>564</v>
      </c>
      <c r="P212" t="s">
        <v>719</v>
      </c>
    </row>
    <row r="213" spans="1:16">
      <c r="A213" t="str">
        <f t="shared" si="3"/>
        <v>&lt;tr&gt;&lt;td&gt;2020-Feb-2&lt;/td&gt;&lt;td&gt;Matchday 22&lt;/td&gt;&lt;td&gt;&lt;/td&gt;&lt;td&gt;       Burnley FC &lt;/td&gt;&lt;td&gt; - &lt;/td&gt;&lt;td&gt;&lt;/td&gt;&lt;td&gt;Manchester City FC&lt;/td&gt;&lt;/tr&gt;</v>
      </c>
      <c r="B213" t="s">
        <v>718</v>
      </c>
      <c r="C213" t="s">
        <v>680</v>
      </c>
      <c r="D213" t="s">
        <v>651</v>
      </c>
      <c r="E213" t="s">
        <v>263</v>
      </c>
      <c r="F213" t="s">
        <v>651</v>
      </c>
      <c r="G213" s="3" t="s">
        <v>476</v>
      </c>
      <c r="H213" t="s">
        <v>651</v>
      </c>
      <c r="I213" t="s">
        <v>557</v>
      </c>
      <c r="J213" t="s">
        <v>651</v>
      </c>
      <c r="K213" t="s">
        <v>478</v>
      </c>
      <c r="L213" t="s">
        <v>651</v>
      </c>
      <c r="M213" t="s">
        <v>476</v>
      </c>
      <c r="N213" t="s">
        <v>651</v>
      </c>
      <c r="O213" t="s">
        <v>512</v>
      </c>
      <c r="P213" t="s">
        <v>719</v>
      </c>
    </row>
    <row r="214" spans="1:16">
      <c r="A214" t="str">
        <f t="shared" si="3"/>
        <v>&lt;tr&gt;&lt;td&gt;2020-Feb-2&lt;/td&gt;&lt;td&gt;Matchday 22&lt;/td&gt;&lt;td&gt;&lt;/td&gt;&lt;td&gt;       Fulham FC &lt;/td&gt;&lt;td&gt; - &lt;/td&gt;&lt;td&gt;&lt;/td&gt;&lt;td&gt;Leicester City FC&lt;/td&gt;&lt;/tr&gt;</v>
      </c>
      <c r="B214" t="s">
        <v>718</v>
      </c>
      <c r="C214" t="s">
        <v>680</v>
      </c>
      <c r="D214" t="s">
        <v>651</v>
      </c>
      <c r="E214" t="s">
        <v>263</v>
      </c>
      <c r="F214" t="s">
        <v>651</v>
      </c>
      <c r="G214" s="3" t="s">
        <v>476</v>
      </c>
      <c r="H214" t="s">
        <v>651</v>
      </c>
      <c r="I214" t="s">
        <v>547</v>
      </c>
      <c r="J214" t="s">
        <v>651</v>
      </c>
      <c r="K214" t="s">
        <v>478</v>
      </c>
      <c r="L214" t="s">
        <v>651</v>
      </c>
      <c r="M214" t="s">
        <v>476</v>
      </c>
      <c r="N214" t="s">
        <v>651</v>
      </c>
      <c r="O214" t="s">
        <v>498</v>
      </c>
      <c r="P214" t="s">
        <v>719</v>
      </c>
    </row>
    <row r="215" spans="1:16">
      <c r="A215" t="str">
        <f t="shared" si="3"/>
        <v>&lt;tr&gt;&lt;td&gt;2020-Feb-2&lt;/td&gt;&lt;td&gt;Matchday 22&lt;/td&gt;&lt;td&gt;&lt;/td&gt;&lt;td&gt;       Leeds United FC &lt;/td&gt;&lt;td&gt; - &lt;/td&gt;&lt;td&gt;&lt;/td&gt;&lt;td&gt;Everton FC&lt;/td&gt;&lt;/tr&gt;</v>
      </c>
      <c r="B215" t="s">
        <v>718</v>
      </c>
      <c r="C215" t="s">
        <v>680</v>
      </c>
      <c r="D215" t="s">
        <v>651</v>
      </c>
      <c r="E215" t="s">
        <v>263</v>
      </c>
      <c r="F215" t="s">
        <v>651</v>
      </c>
      <c r="G215" s="3" t="s">
        <v>476</v>
      </c>
      <c r="H215" t="s">
        <v>651</v>
      </c>
      <c r="I215" t="s">
        <v>548</v>
      </c>
      <c r="J215" t="s">
        <v>651</v>
      </c>
      <c r="K215" t="s">
        <v>478</v>
      </c>
      <c r="L215" t="s">
        <v>651</v>
      </c>
      <c r="M215" t="s">
        <v>476</v>
      </c>
      <c r="N215" t="s">
        <v>651</v>
      </c>
      <c r="O215" t="s">
        <v>500</v>
      </c>
      <c r="P215" t="s">
        <v>719</v>
      </c>
    </row>
    <row r="216" spans="1:16">
      <c r="A216" t="str">
        <f t="shared" si="3"/>
        <v>&lt;tr&gt;&lt;td&gt;2020-Feb-2&lt;/td&gt;&lt;td&gt;Matchday 22&lt;/td&gt;&lt;td&gt;&lt;/td&gt;&lt;td&gt;       Sheffield United FC &lt;/td&gt;&lt;td&gt; - &lt;/td&gt;&lt;td&gt;&lt;/td&gt;&lt;td&gt;West Bromwich Albion FC&lt;/td&gt;&lt;/tr&gt;</v>
      </c>
      <c r="B216" t="s">
        <v>718</v>
      </c>
      <c r="C216" t="s">
        <v>680</v>
      </c>
      <c r="D216" t="s">
        <v>651</v>
      </c>
      <c r="E216" t="s">
        <v>263</v>
      </c>
      <c r="F216" t="s">
        <v>651</v>
      </c>
      <c r="G216" s="3" t="s">
        <v>476</v>
      </c>
      <c r="H216" t="s">
        <v>651</v>
      </c>
      <c r="I216" t="s">
        <v>550</v>
      </c>
      <c r="J216" t="s">
        <v>651</v>
      </c>
      <c r="K216" t="s">
        <v>478</v>
      </c>
      <c r="L216" t="s">
        <v>651</v>
      </c>
      <c r="M216" t="s">
        <v>476</v>
      </c>
      <c r="N216" t="s">
        <v>651</v>
      </c>
      <c r="O216" t="s">
        <v>497</v>
      </c>
      <c r="P216" t="s">
        <v>719</v>
      </c>
    </row>
    <row r="217" spans="1:16">
      <c r="A217" t="str">
        <f t="shared" si="3"/>
        <v>&lt;tr&gt;&lt;td&gt;2020-Feb-2&lt;/td&gt;&lt;td&gt;Matchday 22&lt;/td&gt;&lt;td&gt;&lt;/td&gt;&lt;td&gt;       Wolverhampton Wanderers FC &lt;/td&gt;&lt;td&gt; - &lt;/td&gt;&lt;td&gt;&lt;/td&gt;&lt;td&gt;Arsenal FC&lt;/td&gt;&lt;/tr&gt;</v>
      </c>
      <c r="B217" t="s">
        <v>718</v>
      </c>
      <c r="C217" t="s">
        <v>680</v>
      </c>
      <c r="D217" t="s">
        <v>651</v>
      </c>
      <c r="E217" t="s">
        <v>263</v>
      </c>
      <c r="F217" t="s">
        <v>651</v>
      </c>
      <c r="G217" s="3" t="s">
        <v>476</v>
      </c>
      <c r="H217" t="s">
        <v>651</v>
      </c>
      <c r="I217" t="s">
        <v>522</v>
      </c>
      <c r="J217" t="s">
        <v>651</v>
      </c>
      <c r="K217" t="s">
        <v>478</v>
      </c>
      <c r="L217" t="s">
        <v>651</v>
      </c>
      <c r="M217" t="s">
        <v>476</v>
      </c>
      <c r="N217" t="s">
        <v>651</v>
      </c>
      <c r="O217" t="s">
        <v>485</v>
      </c>
      <c r="P217" t="s">
        <v>719</v>
      </c>
    </row>
    <row r="218" spans="1:16">
      <c r="A218" t="str">
        <f t="shared" si="3"/>
        <v>&lt;tr&gt;&lt;td&gt;2020-Feb-2&lt;/td&gt;&lt;td&gt;Matchday 22&lt;/td&gt;&lt;td&gt;0,833333333333333&lt;/td&gt;&lt;td&gt;Manchester United   &lt;/td&gt;&lt;td&gt; - &lt;/td&gt;&lt;td&gt;&lt;/td&gt;&lt;td&gt;pton FC&lt;/td&gt;&lt;/tr&gt;</v>
      </c>
      <c r="B218" t="s">
        <v>718</v>
      </c>
      <c r="C218" t="s">
        <v>680</v>
      </c>
      <c r="D218" t="s">
        <v>651</v>
      </c>
      <c r="E218" t="s">
        <v>263</v>
      </c>
      <c r="F218" t="s">
        <v>651</v>
      </c>
      <c r="G218" s="3">
        <v>0.83333333333333337</v>
      </c>
      <c r="H218" t="s">
        <v>651</v>
      </c>
      <c r="I218" t="s">
        <v>507</v>
      </c>
      <c r="J218" t="s">
        <v>651</v>
      </c>
      <c r="K218" t="s">
        <v>478</v>
      </c>
      <c r="L218" t="s">
        <v>651</v>
      </c>
      <c r="M218" t="s">
        <v>476</v>
      </c>
      <c r="N218" t="s">
        <v>651</v>
      </c>
      <c r="O218" t="s">
        <v>545</v>
      </c>
      <c r="P218" t="s">
        <v>719</v>
      </c>
    </row>
    <row r="219" spans="1:16">
      <c r="A219" t="str">
        <f t="shared" si="3"/>
        <v>&lt;tr&gt;&lt;td&gt;2020-Feb-3&lt;/td&gt;&lt;td&gt;Matchday 22&lt;/td&gt;&lt;td&gt;0,822916666666667&lt;/td&gt;&lt;td&gt;Newcastle United FC&lt;/td&gt;&lt;td&gt; - &lt;/td&gt;&lt;td&gt;&lt;/td&gt;&lt;td&gt; Palace FC&lt;/td&gt;&lt;/tr&gt;</v>
      </c>
      <c r="B219" t="s">
        <v>718</v>
      </c>
      <c r="C219" t="s">
        <v>685</v>
      </c>
      <c r="D219" t="s">
        <v>651</v>
      </c>
      <c r="E219" t="s">
        <v>263</v>
      </c>
      <c r="F219" t="s">
        <v>651</v>
      </c>
      <c r="G219" s="3">
        <v>0.82291666666666663</v>
      </c>
      <c r="H219" t="s">
        <v>651</v>
      </c>
      <c r="I219" t="s">
        <v>496</v>
      </c>
      <c r="J219" t="s">
        <v>651</v>
      </c>
      <c r="K219" t="s">
        <v>478</v>
      </c>
      <c r="L219" t="s">
        <v>651</v>
      </c>
      <c r="M219" t="s">
        <v>476</v>
      </c>
      <c r="N219" t="s">
        <v>651</v>
      </c>
      <c r="O219" t="s">
        <v>554</v>
      </c>
      <c r="P219" t="s">
        <v>719</v>
      </c>
    </row>
    <row r="220" spans="1:16">
      <c r="A220" t="str">
        <f t="shared" si="3"/>
        <v>&lt;tr&gt;&lt;td&gt;2020-Feb-3&lt;/td&gt;&lt;td&gt;Matchday 22&lt;/td&gt;&lt;td&gt;&lt;/td&gt;&lt;td&gt;       Tottenham Hotspur FC &lt;/td&gt;&lt;td&gt; - &lt;/td&gt;&lt;td&gt;&lt;/td&gt;&lt;td&gt;Chelsea FC&lt;/td&gt;&lt;/tr&gt;</v>
      </c>
      <c r="B220" t="s">
        <v>718</v>
      </c>
      <c r="C220" t="s">
        <v>685</v>
      </c>
      <c r="D220" t="s">
        <v>651</v>
      </c>
      <c r="E220" t="s">
        <v>263</v>
      </c>
      <c r="F220" t="s">
        <v>651</v>
      </c>
      <c r="G220" s="3" t="s">
        <v>476</v>
      </c>
      <c r="H220" t="s">
        <v>651</v>
      </c>
      <c r="I220" t="s">
        <v>563</v>
      </c>
      <c r="J220" t="s">
        <v>651</v>
      </c>
      <c r="K220" t="s">
        <v>478</v>
      </c>
      <c r="L220" t="s">
        <v>651</v>
      </c>
      <c r="M220" t="s">
        <v>476</v>
      </c>
      <c r="N220" t="s">
        <v>651</v>
      </c>
      <c r="O220" t="s">
        <v>504</v>
      </c>
      <c r="P220" t="s">
        <v>719</v>
      </c>
    </row>
    <row r="221" spans="1:16">
      <c r="A221" t="str">
        <f t="shared" si="3"/>
        <v>&lt;tr&gt;&lt;td&gt;2020-Feb-3&lt;/td&gt;&lt;td&gt;Matchday 22&lt;/td&gt;&lt;td&gt;0,833333333333333&lt;/td&gt;&lt;td&gt;Liverpool FC&lt;/td&gt;&lt;td&gt; - &lt;/td&gt;&lt;td&gt;&lt;/td&gt;&lt;td&gt;n and Hove Albion FC&lt;/td&gt;&lt;/tr&gt;</v>
      </c>
      <c r="B221" t="s">
        <v>718</v>
      </c>
      <c r="C221" t="s">
        <v>685</v>
      </c>
      <c r="D221" t="s">
        <v>651</v>
      </c>
      <c r="E221" t="s">
        <v>263</v>
      </c>
      <c r="F221" t="s">
        <v>651</v>
      </c>
      <c r="G221" s="3">
        <v>0.83333333333333337</v>
      </c>
      <c r="H221" t="s">
        <v>651</v>
      </c>
      <c r="I221" t="s">
        <v>489</v>
      </c>
      <c r="J221" t="s">
        <v>651</v>
      </c>
      <c r="K221" t="s">
        <v>478</v>
      </c>
      <c r="L221" t="s">
        <v>651</v>
      </c>
      <c r="M221" t="s">
        <v>476</v>
      </c>
      <c r="N221" t="s">
        <v>651</v>
      </c>
      <c r="O221" t="s">
        <v>653</v>
      </c>
      <c r="P221" t="s">
        <v>719</v>
      </c>
    </row>
    <row r="222" spans="1:16">
      <c r="A222" t="str">
        <f t="shared" si="3"/>
        <v>&lt;tr&gt;&lt;td&gt;2020-Feb-6&lt;/td&gt;&lt;td&gt;Matchday 23&lt;/td&gt;&lt;td&gt;&lt;/td&gt;&lt;td&gt;Aston Villa FC &lt;/td&gt;&lt;td&gt; - &lt;/td&gt;&lt;td&gt;&lt;/td&gt;&lt;td&gt;Arsenal FC&lt;/td&gt;&lt;/tr&gt;</v>
      </c>
      <c r="B222" t="s">
        <v>718</v>
      </c>
      <c r="C222" t="s">
        <v>704</v>
      </c>
      <c r="D222" t="s">
        <v>651</v>
      </c>
      <c r="E222" t="s">
        <v>276</v>
      </c>
      <c r="F222" t="s">
        <v>651</v>
      </c>
      <c r="G222" s="3" t="s">
        <v>476</v>
      </c>
      <c r="H222" t="s">
        <v>651</v>
      </c>
      <c r="I222" t="s">
        <v>538</v>
      </c>
      <c r="J222" t="s">
        <v>651</v>
      </c>
      <c r="K222" t="s">
        <v>478</v>
      </c>
      <c r="L222" t="s">
        <v>651</v>
      </c>
      <c r="M222" t="s">
        <v>476</v>
      </c>
      <c r="N222" t="s">
        <v>651</v>
      </c>
      <c r="O222" t="s">
        <v>485</v>
      </c>
      <c r="P222" t="s">
        <v>719</v>
      </c>
    </row>
    <row r="223" spans="1:16">
      <c r="A223" t="str">
        <f t="shared" si="3"/>
        <v>&lt;tr&gt;&lt;td&gt;2020-Feb-6&lt;/td&gt;&lt;td&gt;Matchday 23&lt;/td&gt;&lt;td&gt;&lt;/td&gt;&lt;td&gt;Burnley FC &lt;/td&gt;&lt;td&gt; - &lt;/td&gt;&lt;td&gt;&lt;/td&gt;&lt;td&gt;Brighton and Hove Albion FC&lt;/td&gt;&lt;/tr&gt;</v>
      </c>
      <c r="B223" t="s">
        <v>718</v>
      </c>
      <c r="C223" t="s">
        <v>704</v>
      </c>
      <c r="D223" t="s">
        <v>651</v>
      </c>
      <c r="E223" t="s">
        <v>276</v>
      </c>
      <c r="F223" t="s">
        <v>651</v>
      </c>
      <c r="G223" s="3" t="s">
        <v>476</v>
      </c>
      <c r="H223" t="s">
        <v>651</v>
      </c>
      <c r="I223" t="s">
        <v>477</v>
      </c>
      <c r="J223" t="s">
        <v>651</v>
      </c>
      <c r="K223" t="s">
        <v>478</v>
      </c>
      <c r="L223" t="s">
        <v>651</v>
      </c>
      <c r="M223" t="s">
        <v>476</v>
      </c>
      <c r="N223" t="s">
        <v>651</v>
      </c>
      <c r="O223" t="s">
        <v>652</v>
      </c>
      <c r="P223" t="s">
        <v>719</v>
      </c>
    </row>
    <row r="224" spans="1:16">
      <c r="A224" t="str">
        <f t="shared" si="3"/>
        <v>&lt;tr&gt;&lt;td&gt;2020-Feb-6&lt;/td&gt;&lt;td&gt;Matchday 23&lt;/td&gt;&lt;td&gt;&lt;/td&gt;&lt;td&gt;Fulham FC &lt;/td&gt;&lt;td&gt; - &lt;/td&gt;&lt;td&gt;&lt;/td&gt;&lt;td&gt;West Ham United FC&lt;/td&gt;&lt;/tr&gt;</v>
      </c>
      <c r="B224" t="s">
        <v>718</v>
      </c>
      <c r="C224" t="s">
        <v>704</v>
      </c>
      <c r="D224" t="s">
        <v>651</v>
      </c>
      <c r="E224" t="s">
        <v>276</v>
      </c>
      <c r="F224" t="s">
        <v>651</v>
      </c>
      <c r="G224" s="3" t="s">
        <v>476</v>
      </c>
      <c r="H224" t="s">
        <v>651</v>
      </c>
      <c r="I224" t="s">
        <v>539</v>
      </c>
      <c r="J224" t="s">
        <v>651</v>
      </c>
      <c r="K224" t="s">
        <v>478</v>
      </c>
      <c r="L224" t="s">
        <v>651</v>
      </c>
      <c r="M224" t="s">
        <v>476</v>
      </c>
      <c r="N224" t="s">
        <v>651</v>
      </c>
      <c r="O224" t="s">
        <v>493</v>
      </c>
      <c r="P224" t="s">
        <v>719</v>
      </c>
    </row>
    <row r="225" spans="1:16">
      <c r="A225" t="str">
        <f t="shared" si="3"/>
        <v>&lt;tr&gt;&lt;td&gt;2020-Feb-6&lt;/td&gt;&lt;td&gt;Matchday 23&lt;/td&gt;&lt;td&gt;&lt;/td&gt;&lt;td&gt;Leeds United FC &lt;/td&gt;&lt;td&gt; - &lt;/td&gt;&lt;td&gt;&lt;/td&gt;&lt;td&gt;Crystal Palace FC&lt;/td&gt;&lt;/tr&gt;</v>
      </c>
      <c r="B225" t="s">
        <v>718</v>
      </c>
      <c r="C225" t="s">
        <v>704</v>
      </c>
      <c r="D225" t="s">
        <v>651</v>
      </c>
      <c r="E225" t="s">
        <v>276</v>
      </c>
      <c r="F225" t="s">
        <v>651</v>
      </c>
      <c r="G225" s="3" t="s">
        <v>476</v>
      </c>
      <c r="H225" t="s">
        <v>651</v>
      </c>
      <c r="I225" t="s">
        <v>531</v>
      </c>
      <c r="J225" t="s">
        <v>651</v>
      </c>
      <c r="K225" t="s">
        <v>478</v>
      </c>
      <c r="L225" t="s">
        <v>651</v>
      </c>
      <c r="M225" t="s">
        <v>476</v>
      </c>
      <c r="N225" t="s">
        <v>651</v>
      </c>
      <c r="O225" t="s">
        <v>486</v>
      </c>
      <c r="P225" t="s">
        <v>719</v>
      </c>
    </row>
    <row r="226" spans="1:16">
      <c r="A226" t="str">
        <f t="shared" si="3"/>
        <v>&lt;tr&gt;&lt;td&gt;2020-Feb-6&lt;/td&gt;&lt;td&gt;Matchday 23&lt;/td&gt;&lt;td&gt;&lt;/td&gt;&lt;td&gt;Liverpool FC &lt;/td&gt;&lt;td&gt; - &lt;/td&gt;&lt;td&gt;&lt;/td&gt;&lt;td&gt;Manchester City FC&lt;/td&gt;&lt;/tr&gt;</v>
      </c>
      <c r="B226" t="s">
        <v>718</v>
      </c>
      <c r="C226" t="s">
        <v>704</v>
      </c>
      <c r="D226" t="s">
        <v>651</v>
      </c>
      <c r="E226" t="s">
        <v>276</v>
      </c>
      <c r="F226" t="s">
        <v>651</v>
      </c>
      <c r="G226" s="3" t="s">
        <v>476</v>
      </c>
      <c r="H226" t="s">
        <v>651</v>
      </c>
      <c r="I226" t="s">
        <v>540</v>
      </c>
      <c r="J226" t="s">
        <v>651</v>
      </c>
      <c r="K226" t="s">
        <v>478</v>
      </c>
      <c r="L226" t="s">
        <v>651</v>
      </c>
      <c r="M226" t="s">
        <v>476</v>
      </c>
      <c r="N226" t="s">
        <v>651</v>
      </c>
      <c r="O226" t="s">
        <v>512</v>
      </c>
      <c r="P226" t="s">
        <v>719</v>
      </c>
    </row>
    <row r="227" spans="1:16">
      <c r="A227" t="str">
        <f t="shared" si="3"/>
        <v>&lt;tr&gt;&lt;td&gt;2020-Feb-6&lt;/td&gt;&lt;td&gt;Matchday 23&lt;/td&gt;&lt;td&gt;&lt;/td&gt;&lt;td&gt;Manchester United    &lt;/td&gt;&lt;td&gt; - &lt;/td&gt;&lt;td&gt;&lt;/td&gt;&lt;td&gt;Everton FC&lt;/td&gt;&lt;/tr&gt;</v>
      </c>
      <c r="B227" t="s">
        <v>718</v>
      </c>
      <c r="C227" t="s">
        <v>704</v>
      </c>
      <c r="D227" t="s">
        <v>651</v>
      </c>
      <c r="E227" t="s">
        <v>276</v>
      </c>
      <c r="F227" t="s">
        <v>651</v>
      </c>
      <c r="G227" s="3" t="s">
        <v>476</v>
      </c>
      <c r="H227" t="s">
        <v>651</v>
      </c>
      <c r="I227" t="s">
        <v>541</v>
      </c>
      <c r="J227" t="s">
        <v>651</v>
      </c>
      <c r="K227" t="s">
        <v>478</v>
      </c>
      <c r="L227" t="s">
        <v>651</v>
      </c>
      <c r="M227" t="s">
        <v>476</v>
      </c>
      <c r="N227" t="s">
        <v>651</v>
      </c>
      <c r="O227" t="s">
        <v>500</v>
      </c>
      <c r="P227" t="s">
        <v>719</v>
      </c>
    </row>
    <row r="228" spans="1:16">
      <c r="A228" t="str">
        <f t="shared" si="3"/>
        <v>&lt;tr&gt;&lt;td&gt;2020-Feb-6&lt;/td&gt;&lt;td&gt;Matchday 23&lt;/td&gt;&lt;td&gt;&lt;/td&gt;&lt;td&gt;Newcastle United FC &lt;/td&gt;&lt;td&gt; - &lt;/td&gt;&lt;td&gt;&lt;/td&gt;&lt;td&gt;Southampton FC&lt;/td&gt;&lt;/tr&gt;</v>
      </c>
      <c r="B228" t="s">
        <v>718</v>
      </c>
      <c r="C228" t="s">
        <v>704</v>
      </c>
      <c r="D228" t="s">
        <v>651</v>
      </c>
      <c r="E228" t="s">
        <v>276</v>
      </c>
      <c r="F228" t="s">
        <v>651</v>
      </c>
      <c r="G228" s="3" t="s">
        <v>476</v>
      </c>
      <c r="H228" t="s">
        <v>651</v>
      </c>
      <c r="I228" t="s">
        <v>533</v>
      </c>
      <c r="J228" t="s">
        <v>651</v>
      </c>
      <c r="K228" t="s">
        <v>478</v>
      </c>
      <c r="L228" t="s">
        <v>651</v>
      </c>
      <c r="M228" t="s">
        <v>476</v>
      </c>
      <c r="N228" t="s">
        <v>651</v>
      </c>
      <c r="O228" t="s">
        <v>488</v>
      </c>
      <c r="P228" t="s">
        <v>719</v>
      </c>
    </row>
    <row r="229" spans="1:16">
      <c r="A229" t="str">
        <f t="shared" si="3"/>
        <v>&lt;tr&gt;&lt;td&gt;2020-Feb-6&lt;/td&gt;&lt;td&gt;Matchday 23&lt;/td&gt;&lt;td&gt;&lt;/td&gt;&lt;td&gt;Sheffield United FC &lt;/td&gt;&lt;td&gt; - &lt;/td&gt;&lt;td&gt;&lt;/td&gt;&lt;td&gt;Chelsea FC&lt;/td&gt;&lt;/tr&gt;</v>
      </c>
      <c r="B229" t="s">
        <v>718</v>
      </c>
      <c r="C229" t="s">
        <v>704</v>
      </c>
      <c r="D229" t="s">
        <v>651</v>
      </c>
      <c r="E229" t="s">
        <v>276</v>
      </c>
      <c r="F229" t="s">
        <v>651</v>
      </c>
      <c r="G229" s="3" t="s">
        <v>476</v>
      </c>
      <c r="H229" t="s">
        <v>651</v>
      </c>
      <c r="I229" t="s">
        <v>534</v>
      </c>
      <c r="J229" t="s">
        <v>651</v>
      </c>
      <c r="K229" t="s">
        <v>478</v>
      </c>
      <c r="L229" t="s">
        <v>651</v>
      </c>
      <c r="M229" t="s">
        <v>476</v>
      </c>
      <c r="N229" t="s">
        <v>651</v>
      </c>
      <c r="O229" t="s">
        <v>504</v>
      </c>
      <c r="P229" t="s">
        <v>719</v>
      </c>
    </row>
    <row r="230" spans="1:16">
      <c r="A230" t="str">
        <f t="shared" si="3"/>
        <v>&lt;tr&gt;&lt;td&gt;2020-Feb-6&lt;/td&gt;&lt;td&gt;Matchday 23&lt;/td&gt;&lt;td&gt;&lt;/td&gt;&lt;td&gt;Tottenham Hotspur FC &lt;/td&gt;&lt;td&gt; - &lt;/td&gt;&lt;td&gt;&lt;/td&gt;&lt;td&gt;West Bromwich Albion FC&lt;/td&gt;&lt;/tr&gt;</v>
      </c>
      <c r="B230" t="s">
        <v>718</v>
      </c>
      <c r="C230" t="s">
        <v>704</v>
      </c>
      <c r="D230" t="s">
        <v>651</v>
      </c>
      <c r="E230" t="s">
        <v>276</v>
      </c>
      <c r="F230" t="s">
        <v>651</v>
      </c>
      <c r="G230" s="3" t="s">
        <v>476</v>
      </c>
      <c r="H230" t="s">
        <v>651</v>
      </c>
      <c r="I230" t="s">
        <v>535</v>
      </c>
      <c r="J230" t="s">
        <v>651</v>
      </c>
      <c r="K230" t="s">
        <v>478</v>
      </c>
      <c r="L230" t="s">
        <v>651</v>
      </c>
      <c r="M230" t="s">
        <v>476</v>
      </c>
      <c r="N230" t="s">
        <v>651</v>
      </c>
      <c r="O230" t="s">
        <v>497</v>
      </c>
      <c r="P230" t="s">
        <v>719</v>
      </c>
    </row>
    <row r="231" spans="1:16">
      <c r="A231" t="str">
        <f t="shared" si="3"/>
        <v>&lt;tr&gt;&lt;td&gt;2020-Feb-6&lt;/td&gt;&lt;td&gt;Matchday 23&lt;/td&gt;&lt;td&gt;&lt;/td&gt;&lt;td&gt;Wolverhampton Wanderers FC &lt;/td&gt;&lt;td&gt; - &lt;/td&gt;&lt;td&gt;&lt;/td&gt;&lt;td&gt;Leicester City FC&lt;/td&gt;&lt;/tr&gt;</v>
      </c>
      <c r="B231" t="s">
        <v>718</v>
      </c>
      <c r="C231" t="s">
        <v>704</v>
      </c>
      <c r="D231" t="s">
        <v>651</v>
      </c>
      <c r="E231" t="s">
        <v>276</v>
      </c>
      <c r="F231" t="s">
        <v>651</v>
      </c>
      <c r="G231" s="3" t="s">
        <v>476</v>
      </c>
      <c r="H231" t="s">
        <v>651</v>
      </c>
      <c r="I231" t="s">
        <v>544</v>
      </c>
      <c r="J231" t="s">
        <v>651</v>
      </c>
      <c r="K231" t="s">
        <v>478</v>
      </c>
      <c r="L231" t="s">
        <v>651</v>
      </c>
      <c r="M231" t="s">
        <v>476</v>
      </c>
      <c r="N231" t="s">
        <v>651</v>
      </c>
      <c r="O231" t="s">
        <v>498</v>
      </c>
      <c r="P231" t="s">
        <v>719</v>
      </c>
    </row>
    <row r="232" spans="1:16">
      <c r="A232" t="str">
        <f t="shared" si="3"/>
        <v>&lt;tr&gt;&lt;td&gt;2020-Feb-13&lt;/td&gt;&lt;td&gt;Matchday 24&lt;/td&gt;&lt;td&gt;&lt;/td&gt;&lt;td&gt;Arsenal FC &lt;/td&gt;&lt;td&gt; - &lt;/td&gt;&lt;td&gt;&lt;/td&gt;&lt;td&gt;Leeds United FC&lt;/td&gt;&lt;/tr&gt;</v>
      </c>
      <c r="B232" t="s">
        <v>718</v>
      </c>
      <c r="C232" t="s">
        <v>705</v>
      </c>
      <c r="D232" t="s">
        <v>651</v>
      </c>
      <c r="E232" t="s">
        <v>288</v>
      </c>
      <c r="F232" t="s">
        <v>651</v>
      </c>
      <c r="G232" s="3" t="s">
        <v>476</v>
      </c>
      <c r="H232" t="s">
        <v>651</v>
      </c>
      <c r="I232" t="s">
        <v>537</v>
      </c>
      <c r="J232" t="s">
        <v>651</v>
      </c>
      <c r="K232" t="s">
        <v>478</v>
      </c>
      <c r="L232" t="s">
        <v>651</v>
      </c>
      <c r="M232" t="s">
        <v>476</v>
      </c>
      <c r="N232" t="s">
        <v>651</v>
      </c>
      <c r="O232" t="s">
        <v>492</v>
      </c>
      <c r="P232" t="s">
        <v>719</v>
      </c>
    </row>
    <row r="233" spans="1:16">
      <c r="A233" t="str">
        <f t="shared" si="3"/>
        <v>&lt;tr&gt;&lt;td&gt;2020-Feb-13&lt;/td&gt;&lt;td&gt;Matchday 24&lt;/td&gt;&lt;td&gt;&lt;/td&gt;&lt;td&gt;Brighton and Hove Albion FC &lt;/td&gt;&lt;td&gt; - &lt;/td&gt;&lt;td&gt;&lt;/td&gt;&lt;td&gt;Aston Villa FC&lt;/td&gt;&lt;/tr&gt;</v>
      </c>
      <c r="B233" t="s">
        <v>718</v>
      </c>
      <c r="C233" t="s">
        <v>705</v>
      </c>
      <c r="D233" t="s">
        <v>651</v>
      </c>
      <c r="E233" t="s">
        <v>288</v>
      </c>
      <c r="F233" t="s">
        <v>651</v>
      </c>
      <c r="G233" s="3" t="s">
        <v>476</v>
      </c>
      <c r="H233" t="s">
        <v>651</v>
      </c>
      <c r="I233" t="s">
        <v>654</v>
      </c>
      <c r="J233" t="s">
        <v>651</v>
      </c>
      <c r="K233" t="s">
        <v>478</v>
      </c>
      <c r="L233" t="s">
        <v>651</v>
      </c>
      <c r="M233" t="s">
        <v>476</v>
      </c>
      <c r="N233" t="s">
        <v>651</v>
      </c>
      <c r="O233" t="s">
        <v>481</v>
      </c>
      <c r="P233" t="s">
        <v>719</v>
      </c>
    </row>
    <row r="234" spans="1:16">
      <c r="A234" t="str">
        <f t="shared" si="3"/>
        <v>&lt;tr&gt;&lt;td&gt;2020-Feb-13&lt;/td&gt;&lt;td&gt;Matchday 24&lt;/td&gt;&lt;td&gt;&lt;/td&gt;&lt;td&gt;Chelsea FC &lt;/td&gt;&lt;td&gt; - &lt;/td&gt;&lt;td&gt;&lt;/td&gt;&lt;td&gt;Newcastle United FC&lt;/td&gt;&lt;/tr&gt;</v>
      </c>
      <c r="B234" t="s">
        <v>718</v>
      </c>
      <c r="C234" t="s">
        <v>705</v>
      </c>
      <c r="D234" t="s">
        <v>651</v>
      </c>
      <c r="E234" t="s">
        <v>288</v>
      </c>
      <c r="F234" t="s">
        <v>651</v>
      </c>
      <c r="G234" s="3" t="s">
        <v>476</v>
      </c>
      <c r="H234" t="s">
        <v>651</v>
      </c>
      <c r="I234" t="s">
        <v>528</v>
      </c>
      <c r="J234" t="s">
        <v>651</v>
      </c>
      <c r="K234" t="s">
        <v>478</v>
      </c>
      <c r="L234" t="s">
        <v>651</v>
      </c>
      <c r="M234" t="s">
        <v>476</v>
      </c>
      <c r="N234" t="s">
        <v>651</v>
      </c>
      <c r="O234" t="s">
        <v>496</v>
      </c>
      <c r="P234" t="s">
        <v>719</v>
      </c>
    </row>
    <row r="235" spans="1:16">
      <c r="A235" t="str">
        <f t="shared" si="3"/>
        <v>&lt;tr&gt;&lt;td&gt;2020-Feb-13&lt;/td&gt;&lt;td&gt;Matchday 24&lt;/td&gt;&lt;td&gt;&lt;/td&gt;&lt;td&gt;Crystal Palace FC &lt;/td&gt;&lt;td&gt; - &lt;/td&gt;&lt;td&gt;&lt;/td&gt;&lt;td&gt;Burnley FC&lt;/td&gt;&lt;/tr&gt;</v>
      </c>
      <c r="B235" t="s">
        <v>718</v>
      </c>
      <c r="C235" t="s">
        <v>705</v>
      </c>
      <c r="D235" t="s">
        <v>651</v>
      </c>
      <c r="E235" t="s">
        <v>288</v>
      </c>
      <c r="F235" t="s">
        <v>651</v>
      </c>
      <c r="G235" s="3" t="s">
        <v>476</v>
      </c>
      <c r="H235" t="s">
        <v>651</v>
      </c>
      <c r="I235" t="s">
        <v>529</v>
      </c>
      <c r="J235" t="s">
        <v>651</v>
      </c>
      <c r="K235" t="s">
        <v>478</v>
      </c>
      <c r="L235" t="s">
        <v>651</v>
      </c>
      <c r="M235" t="s">
        <v>476</v>
      </c>
      <c r="N235" t="s">
        <v>651</v>
      </c>
      <c r="O235" t="s">
        <v>511</v>
      </c>
      <c r="P235" t="s">
        <v>719</v>
      </c>
    </row>
    <row r="236" spans="1:16">
      <c r="A236" t="str">
        <f t="shared" si="3"/>
        <v>&lt;tr&gt;&lt;td&gt;2020-Feb-13&lt;/td&gt;&lt;td&gt;Matchday 24&lt;/td&gt;&lt;td&gt;&lt;/td&gt;&lt;td&gt;Everton FC &lt;/td&gt;&lt;td&gt; - &lt;/td&gt;&lt;td&gt;&lt;/td&gt;&lt;td&gt;Fulham FC&lt;/td&gt;&lt;/tr&gt;</v>
      </c>
      <c r="B236" t="s">
        <v>718</v>
      </c>
      <c r="C236" t="s">
        <v>705</v>
      </c>
      <c r="D236" t="s">
        <v>651</v>
      </c>
      <c r="E236" t="s">
        <v>288</v>
      </c>
      <c r="F236" t="s">
        <v>651</v>
      </c>
      <c r="G236" s="3" t="s">
        <v>476</v>
      </c>
      <c r="H236" t="s">
        <v>651</v>
      </c>
      <c r="I236" t="s">
        <v>530</v>
      </c>
      <c r="J236" t="s">
        <v>651</v>
      </c>
      <c r="K236" t="s">
        <v>478</v>
      </c>
      <c r="L236" t="s">
        <v>651</v>
      </c>
      <c r="M236" t="s">
        <v>476</v>
      </c>
      <c r="N236" t="s">
        <v>651</v>
      </c>
      <c r="O236" t="s">
        <v>482</v>
      </c>
      <c r="P236" t="s">
        <v>719</v>
      </c>
    </row>
    <row r="237" spans="1:16">
      <c r="A237" t="str">
        <f t="shared" si="3"/>
        <v>&lt;tr&gt;&lt;td&gt;2020-Feb-13&lt;/td&gt;&lt;td&gt;Matchday 24&lt;/td&gt;&lt;td&gt;&lt;/td&gt;&lt;td&gt;Leicester City FC &lt;/td&gt;&lt;td&gt; - &lt;/td&gt;&lt;td&gt;&lt;/td&gt;&lt;td&gt;Liverpool FC&lt;/td&gt;&lt;/tr&gt;</v>
      </c>
      <c r="B237" t="s">
        <v>718</v>
      </c>
      <c r="C237" t="s">
        <v>705</v>
      </c>
      <c r="D237" t="s">
        <v>651</v>
      </c>
      <c r="E237" t="s">
        <v>288</v>
      </c>
      <c r="F237" t="s">
        <v>651</v>
      </c>
      <c r="G237" s="3" t="s">
        <v>476</v>
      </c>
      <c r="H237" t="s">
        <v>651</v>
      </c>
      <c r="I237" t="s">
        <v>532</v>
      </c>
      <c r="J237" t="s">
        <v>651</v>
      </c>
      <c r="K237" t="s">
        <v>478</v>
      </c>
      <c r="L237" t="s">
        <v>651</v>
      </c>
      <c r="M237" t="s">
        <v>476</v>
      </c>
      <c r="N237" t="s">
        <v>651</v>
      </c>
      <c r="O237" t="s">
        <v>489</v>
      </c>
      <c r="P237" t="s">
        <v>719</v>
      </c>
    </row>
    <row r="238" spans="1:16">
      <c r="A238" t="str">
        <f t="shared" si="3"/>
        <v>&lt;tr&gt;&lt;td&gt;2020-Feb-13&lt;/td&gt;&lt;td&gt;Matchday 24&lt;/td&gt;&lt;td&gt;&lt;/td&gt;&lt;td&gt;Manchester City FC &lt;/td&gt;&lt;td&gt; - &lt;/td&gt;&lt;td&gt;&lt;/td&gt;&lt;td&gt;Tottenham Hotspur FC&lt;/td&gt;&lt;/tr&gt;</v>
      </c>
      <c r="B238" t="s">
        <v>718</v>
      </c>
      <c r="C238" t="s">
        <v>705</v>
      </c>
      <c r="D238" t="s">
        <v>651</v>
      </c>
      <c r="E238" t="s">
        <v>288</v>
      </c>
      <c r="F238" t="s">
        <v>651</v>
      </c>
      <c r="G238" s="3" t="s">
        <v>476</v>
      </c>
      <c r="H238" t="s">
        <v>651</v>
      </c>
      <c r="I238" t="s">
        <v>480</v>
      </c>
      <c r="J238" t="s">
        <v>651</v>
      </c>
      <c r="K238" t="s">
        <v>478</v>
      </c>
      <c r="L238" t="s">
        <v>651</v>
      </c>
      <c r="M238" t="s">
        <v>476</v>
      </c>
      <c r="N238" t="s">
        <v>651</v>
      </c>
      <c r="O238" t="s">
        <v>499</v>
      </c>
      <c r="P238" t="s">
        <v>719</v>
      </c>
    </row>
    <row r="239" spans="1:16">
      <c r="A239" t="str">
        <f t="shared" si="3"/>
        <v>&lt;tr&gt;&lt;td&gt;2020-Feb-13&lt;/td&gt;&lt;td&gt;Matchday 24&lt;/td&gt;&lt;td&gt;&lt;/td&gt;&lt;td&gt;Southampton FC &lt;/td&gt;&lt;td&gt; - &lt;/td&gt;&lt;td&gt;&lt;/td&gt;&lt;td&gt;Wolverhampton Wanderers FC&lt;/td&gt;&lt;/tr&gt;</v>
      </c>
      <c r="B239" t="s">
        <v>718</v>
      </c>
      <c r="C239" t="s">
        <v>705</v>
      </c>
      <c r="D239" t="s">
        <v>651</v>
      </c>
      <c r="E239" t="s">
        <v>288</v>
      </c>
      <c r="F239" t="s">
        <v>651</v>
      </c>
      <c r="G239" s="3" t="s">
        <v>476</v>
      </c>
      <c r="H239" t="s">
        <v>651</v>
      </c>
      <c r="I239" t="s">
        <v>542</v>
      </c>
      <c r="J239" t="s">
        <v>651</v>
      </c>
      <c r="K239" t="s">
        <v>478</v>
      </c>
      <c r="L239" t="s">
        <v>651</v>
      </c>
      <c r="M239" t="s">
        <v>476</v>
      </c>
      <c r="N239" t="s">
        <v>651</v>
      </c>
      <c r="O239" t="s">
        <v>502</v>
      </c>
      <c r="P239" t="s">
        <v>719</v>
      </c>
    </row>
    <row r="240" spans="1:16">
      <c r="A240" t="str">
        <f t="shared" si="3"/>
        <v>&lt;tr&gt;&lt;td&gt;2020-Feb-13&lt;/td&gt;&lt;td&gt;Matchday 24&lt;/td&gt;&lt;td&gt;&lt;/td&gt;&lt;td&gt;West Bromwich Albion FC &lt;/td&gt;&lt;td&gt; - &lt;/td&gt;&lt;td&gt;&lt;/td&gt;&lt;td&gt;Manchester United&lt;/td&gt;&lt;/tr&gt;</v>
      </c>
      <c r="B240" t="s">
        <v>718</v>
      </c>
      <c r="C240" t="s">
        <v>705</v>
      </c>
      <c r="D240" t="s">
        <v>651</v>
      </c>
      <c r="E240" t="s">
        <v>288</v>
      </c>
      <c r="F240" t="s">
        <v>651</v>
      </c>
      <c r="G240" s="3" t="s">
        <v>476</v>
      </c>
      <c r="H240" t="s">
        <v>651</v>
      </c>
      <c r="I240" t="s">
        <v>536</v>
      </c>
      <c r="J240" t="s">
        <v>651</v>
      </c>
      <c r="K240" t="s">
        <v>478</v>
      </c>
      <c r="L240" t="s">
        <v>651</v>
      </c>
      <c r="M240" t="s">
        <v>476</v>
      </c>
      <c r="N240" t="s">
        <v>651</v>
      </c>
      <c r="O240" t="s">
        <v>479</v>
      </c>
      <c r="P240" t="s">
        <v>719</v>
      </c>
    </row>
    <row r="241" spans="1:16">
      <c r="A241" t="str">
        <f t="shared" si="3"/>
        <v>&lt;tr&gt;&lt;td&gt;2020-Feb-13&lt;/td&gt;&lt;td&gt;Matchday 24&lt;/td&gt;&lt;td&gt;&lt;/td&gt;&lt;td&gt;West Ham United FC &lt;/td&gt;&lt;td&gt; - &lt;/td&gt;&lt;td&gt;&lt;/td&gt;&lt;td&gt;Sheffield United FC&lt;/td&gt;&lt;/tr&gt;</v>
      </c>
      <c r="B241" t="s">
        <v>718</v>
      </c>
      <c r="C241" t="s">
        <v>705</v>
      </c>
      <c r="D241" t="s">
        <v>651</v>
      </c>
      <c r="E241" t="s">
        <v>288</v>
      </c>
      <c r="F241" t="s">
        <v>651</v>
      </c>
      <c r="G241" s="3" t="s">
        <v>476</v>
      </c>
      <c r="H241" t="s">
        <v>651</v>
      </c>
      <c r="I241" t="s">
        <v>543</v>
      </c>
      <c r="J241" t="s">
        <v>651</v>
      </c>
      <c r="K241" t="s">
        <v>478</v>
      </c>
      <c r="L241" t="s">
        <v>651</v>
      </c>
      <c r="M241" t="s">
        <v>476</v>
      </c>
      <c r="N241" t="s">
        <v>651</v>
      </c>
      <c r="O241" t="s">
        <v>501</v>
      </c>
      <c r="P241" t="s">
        <v>719</v>
      </c>
    </row>
    <row r="242" spans="1:16">
      <c r="A242" t="str">
        <f t="shared" si="3"/>
        <v>&lt;tr&gt;&lt;td&gt;2020-Feb-20&lt;/td&gt;&lt;td&gt;Matchday 25&lt;/td&gt;&lt;td&gt;&lt;/td&gt;&lt;td&gt;Arsenal FC &lt;/td&gt;&lt;td&gt; - &lt;/td&gt;&lt;td&gt;&lt;/td&gt;&lt;td&gt;Manchester City FC&lt;/td&gt;&lt;/tr&gt;</v>
      </c>
      <c r="B242" t="s">
        <v>718</v>
      </c>
      <c r="C242" t="s">
        <v>706</v>
      </c>
      <c r="D242" t="s">
        <v>651</v>
      </c>
      <c r="E242" t="s">
        <v>300</v>
      </c>
      <c r="F242" t="s">
        <v>651</v>
      </c>
      <c r="G242" s="3" t="s">
        <v>476</v>
      </c>
      <c r="H242" t="s">
        <v>651</v>
      </c>
      <c r="I242" t="s">
        <v>537</v>
      </c>
      <c r="J242" t="s">
        <v>651</v>
      </c>
      <c r="K242" t="s">
        <v>478</v>
      </c>
      <c r="L242" t="s">
        <v>651</v>
      </c>
      <c r="M242" t="s">
        <v>476</v>
      </c>
      <c r="N242" t="s">
        <v>651</v>
      </c>
      <c r="O242" t="s">
        <v>512</v>
      </c>
      <c r="P242" t="s">
        <v>719</v>
      </c>
    </row>
    <row r="243" spans="1:16">
      <c r="A243" t="str">
        <f t="shared" si="3"/>
        <v>&lt;tr&gt;&lt;td&gt;2020-Feb-20&lt;/td&gt;&lt;td&gt;Matchday 25&lt;/td&gt;&lt;td&gt;&lt;/td&gt;&lt;td&gt;Aston Villa FC &lt;/td&gt;&lt;td&gt; - &lt;/td&gt;&lt;td&gt;&lt;/td&gt;&lt;td&gt;Leicester City FC&lt;/td&gt;&lt;/tr&gt;</v>
      </c>
      <c r="B243" t="s">
        <v>718</v>
      </c>
      <c r="C243" t="s">
        <v>706</v>
      </c>
      <c r="D243" t="s">
        <v>651</v>
      </c>
      <c r="E243" t="s">
        <v>300</v>
      </c>
      <c r="F243" t="s">
        <v>651</v>
      </c>
      <c r="G243" s="3" t="s">
        <v>476</v>
      </c>
      <c r="H243" t="s">
        <v>651</v>
      </c>
      <c r="I243" t="s">
        <v>538</v>
      </c>
      <c r="J243" t="s">
        <v>651</v>
      </c>
      <c r="K243" t="s">
        <v>478</v>
      </c>
      <c r="L243" t="s">
        <v>651</v>
      </c>
      <c r="M243" t="s">
        <v>476</v>
      </c>
      <c r="N243" t="s">
        <v>651</v>
      </c>
      <c r="O243" t="s">
        <v>498</v>
      </c>
      <c r="P243" t="s">
        <v>719</v>
      </c>
    </row>
    <row r="244" spans="1:16">
      <c r="A244" t="str">
        <f t="shared" si="3"/>
        <v>&lt;tr&gt;&lt;td&gt;2020-Feb-20&lt;/td&gt;&lt;td&gt;Matchday 25&lt;/td&gt;&lt;td&gt;&lt;/td&gt;&lt;td&gt;Brighton and Hove Albion FC &lt;/td&gt;&lt;td&gt; - &lt;/td&gt;&lt;td&gt;&lt;/td&gt;&lt;td&gt;Crystal Palace FC&lt;/td&gt;&lt;/tr&gt;</v>
      </c>
      <c r="B244" t="s">
        <v>718</v>
      </c>
      <c r="C244" t="s">
        <v>706</v>
      </c>
      <c r="D244" t="s">
        <v>651</v>
      </c>
      <c r="E244" t="s">
        <v>300</v>
      </c>
      <c r="F244" t="s">
        <v>651</v>
      </c>
      <c r="G244" s="3" t="s">
        <v>476</v>
      </c>
      <c r="H244" t="s">
        <v>651</v>
      </c>
      <c r="I244" t="s">
        <v>654</v>
      </c>
      <c r="J244" t="s">
        <v>651</v>
      </c>
      <c r="K244" t="s">
        <v>478</v>
      </c>
      <c r="L244" t="s">
        <v>651</v>
      </c>
      <c r="M244" t="s">
        <v>476</v>
      </c>
      <c r="N244" t="s">
        <v>651</v>
      </c>
      <c r="O244" t="s">
        <v>486</v>
      </c>
      <c r="P244" t="s">
        <v>719</v>
      </c>
    </row>
    <row r="245" spans="1:16">
      <c r="A245" t="str">
        <f t="shared" si="3"/>
        <v>&lt;tr&gt;&lt;td&gt;2020-Feb-20&lt;/td&gt;&lt;td&gt;Matchday 25&lt;/td&gt;&lt;td&gt;&lt;/td&gt;&lt;td&gt;Burnley FC &lt;/td&gt;&lt;td&gt; - &lt;/td&gt;&lt;td&gt;&lt;/td&gt;&lt;td&gt;West Bromwich Albion FC&lt;/td&gt;&lt;/tr&gt;</v>
      </c>
      <c r="B245" t="s">
        <v>718</v>
      </c>
      <c r="C245" t="s">
        <v>706</v>
      </c>
      <c r="D245" t="s">
        <v>651</v>
      </c>
      <c r="E245" t="s">
        <v>300</v>
      </c>
      <c r="F245" t="s">
        <v>651</v>
      </c>
      <c r="G245" s="3" t="s">
        <v>476</v>
      </c>
      <c r="H245" t="s">
        <v>651</v>
      </c>
      <c r="I245" t="s">
        <v>477</v>
      </c>
      <c r="J245" t="s">
        <v>651</v>
      </c>
      <c r="K245" t="s">
        <v>478</v>
      </c>
      <c r="L245" t="s">
        <v>651</v>
      </c>
      <c r="M245" t="s">
        <v>476</v>
      </c>
      <c r="N245" t="s">
        <v>651</v>
      </c>
      <c r="O245" t="s">
        <v>497</v>
      </c>
      <c r="P245" t="s">
        <v>719</v>
      </c>
    </row>
    <row r="246" spans="1:16">
      <c r="A246" t="str">
        <f t="shared" si="3"/>
        <v>&lt;tr&gt;&lt;td&gt;2020-Feb-20&lt;/td&gt;&lt;td&gt;Matchday 25&lt;/td&gt;&lt;td&gt;&lt;/td&gt;&lt;td&gt;Fulham FC &lt;/td&gt;&lt;td&gt; - &lt;/td&gt;&lt;td&gt;&lt;/td&gt;&lt;td&gt;Sheffield United FC&lt;/td&gt;&lt;/tr&gt;</v>
      </c>
      <c r="B246" t="s">
        <v>718</v>
      </c>
      <c r="C246" t="s">
        <v>706</v>
      </c>
      <c r="D246" t="s">
        <v>651</v>
      </c>
      <c r="E246" t="s">
        <v>300</v>
      </c>
      <c r="F246" t="s">
        <v>651</v>
      </c>
      <c r="G246" s="3" t="s">
        <v>476</v>
      </c>
      <c r="H246" t="s">
        <v>651</v>
      </c>
      <c r="I246" t="s">
        <v>539</v>
      </c>
      <c r="J246" t="s">
        <v>651</v>
      </c>
      <c r="K246" t="s">
        <v>478</v>
      </c>
      <c r="L246" t="s">
        <v>651</v>
      </c>
      <c r="M246" t="s">
        <v>476</v>
      </c>
      <c r="N246" t="s">
        <v>651</v>
      </c>
      <c r="O246" t="s">
        <v>501</v>
      </c>
      <c r="P246" t="s">
        <v>719</v>
      </c>
    </row>
    <row r="247" spans="1:16">
      <c r="A247" t="str">
        <f t="shared" si="3"/>
        <v>&lt;tr&gt;&lt;td&gt;2020-Feb-20&lt;/td&gt;&lt;td&gt;Matchday 25&lt;/td&gt;&lt;td&gt;&lt;/td&gt;&lt;td&gt;Liverpool FC &lt;/td&gt;&lt;td&gt; - &lt;/td&gt;&lt;td&gt;&lt;/td&gt;&lt;td&gt;Everton FC&lt;/td&gt;&lt;/tr&gt;</v>
      </c>
      <c r="B247" t="s">
        <v>718</v>
      </c>
      <c r="C247" t="s">
        <v>706</v>
      </c>
      <c r="D247" t="s">
        <v>651</v>
      </c>
      <c r="E247" t="s">
        <v>300</v>
      </c>
      <c r="F247" t="s">
        <v>651</v>
      </c>
      <c r="G247" s="3" t="s">
        <v>476</v>
      </c>
      <c r="H247" t="s">
        <v>651</v>
      </c>
      <c r="I247" t="s">
        <v>540</v>
      </c>
      <c r="J247" t="s">
        <v>651</v>
      </c>
      <c r="K247" t="s">
        <v>478</v>
      </c>
      <c r="L247" t="s">
        <v>651</v>
      </c>
      <c r="M247" t="s">
        <v>476</v>
      </c>
      <c r="N247" t="s">
        <v>651</v>
      </c>
      <c r="O247" t="s">
        <v>500</v>
      </c>
      <c r="P247" t="s">
        <v>719</v>
      </c>
    </row>
    <row r="248" spans="1:16">
      <c r="A248" t="str">
        <f t="shared" si="3"/>
        <v>&lt;tr&gt;&lt;td&gt;2020-Feb-20&lt;/td&gt;&lt;td&gt;Matchday 25&lt;/td&gt;&lt;td&gt;&lt;/td&gt;&lt;td&gt;Manchester United    &lt;/td&gt;&lt;td&gt; - &lt;/td&gt;&lt;td&gt;&lt;/td&gt;&lt;td&gt;Newcastle United FC&lt;/td&gt;&lt;/tr&gt;</v>
      </c>
      <c r="B248" t="s">
        <v>718</v>
      </c>
      <c r="C248" t="s">
        <v>706</v>
      </c>
      <c r="D248" t="s">
        <v>651</v>
      </c>
      <c r="E248" t="s">
        <v>300</v>
      </c>
      <c r="F248" t="s">
        <v>651</v>
      </c>
      <c r="G248" s="3" t="s">
        <v>476</v>
      </c>
      <c r="H248" t="s">
        <v>651</v>
      </c>
      <c r="I248" t="s">
        <v>541</v>
      </c>
      <c r="J248" t="s">
        <v>651</v>
      </c>
      <c r="K248" t="s">
        <v>478</v>
      </c>
      <c r="L248" t="s">
        <v>651</v>
      </c>
      <c r="M248" t="s">
        <v>476</v>
      </c>
      <c r="N248" t="s">
        <v>651</v>
      </c>
      <c r="O248" t="s">
        <v>496</v>
      </c>
      <c r="P248" t="s">
        <v>719</v>
      </c>
    </row>
    <row r="249" spans="1:16">
      <c r="A249" t="str">
        <f t="shared" si="3"/>
        <v>&lt;tr&gt;&lt;td&gt;2020-Feb-20&lt;/td&gt;&lt;td&gt;Matchday 25&lt;/td&gt;&lt;td&gt;&lt;/td&gt;&lt;td&gt;Southampton FC &lt;/td&gt;&lt;td&gt; - &lt;/td&gt;&lt;td&gt;&lt;/td&gt;&lt;td&gt;Chelsea FC&lt;/td&gt;&lt;/tr&gt;</v>
      </c>
      <c r="B249" t="s">
        <v>718</v>
      </c>
      <c r="C249" t="s">
        <v>706</v>
      </c>
      <c r="D249" t="s">
        <v>651</v>
      </c>
      <c r="E249" t="s">
        <v>300</v>
      </c>
      <c r="F249" t="s">
        <v>651</v>
      </c>
      <c r="G249" s="3" t="s">
        <v>476</v>
      </c>
      <c r="H249" t="s">
        <v>651</v>
      </c>
      <c r="I249" t="s">
        <v>542</v>
      </c>
      <c r="J249" t="s">
        <v>651</v>
      </c>
      <c r="K249" t="s">
        <v>478</v>
      </c>
      <c r="L249" t="s">
        <v>651</v>
      </c>
      <c r="M249" t="s">
        <v>476</v>
      </c>
      <c r="N249" t="s">
        <v>651</v>
      </c>
      <c r="O249" t="s">
        <v>504</v>
      </c>
      <c r="P249" t="s">
        <v>719</v>
      </c>
    </row>
    <row r="250" spans="1:16">
      <c r="A250" t="str">
        <f t="shared" si="3"/>
        <v>&lt;tr&gt;&lt;td&gt;2020-Feb-20&lt;/td&gt;&lt;td&gt;Matchday 25&lt;/td&gt;&lt;td&gt;&lt;/td&gt;&lt;td&gt;West Ham United FC &lt;/td&gt;&lt;td&gt; - &lt;/td&gt;&lt;td&gt;&lt;/td&gt;&lt;td&gt;Tottenham Hotspur FC&lt;/td&gt;&lt;/tr&gt;</v>
      </c>
      <c r="B250" t="s">
        <v>718</v>
      </c>
      <c r="C250" t="s">
        <v>706</v>
      </c>
      <c r="D250" t="s">
        <v>651</v>
      </c>
      <c r="E250" t="s">
        <v>300</v>
      </c>
      <c r="F250" t="s">
        <v>651</v>
      </c>
      <c r="G250" s="3" t="s">
        <v>476</v>
      </c>
      <c r="H250" t="s">
        <v>651</v>
      </c>
      <c r="I250" t="s">
        <v>543</v>
      </c>
      <c r="J250" t="s">
        <v>651</v>
      </c>
      <c r="K250" t="s">
        <v>478</v>
      </c>
      <c r="L250" t="s">
        <v>651</v>
      </c>
      <c r="M250" t="s">
        <v>476</v>
      </c>
      <c r="N250" t="s">
        <v>651</v>
      </c>
      <c r="O250" t="s">
        <v>499</v>
      </c>
      <c r="P250" t="s">
        <v>719</v>
      </c>
    </row>
    <row r="251" spans="1:16">
      <c r="A251" t="str">
        <f t="shared" si="3"/>
        <v>&lt;tr&gt;&lt;td&gt;2020-Feb-20&lt;/td&gt;&lt;td&gt;Matchday 25&lt;/td&gt;&lt;td&gt;&lt;/td&gt;&lt;td&gt;Wolverhampton Wanderers FC &lt;/td&gt;&lt;td&gt; - &lt;/td&gt;&lt;td&gt;&lt;/td&gt;&lt;td&gt;Leeds United FC&lt;/td&gt;&lt;/tr&gt;</v>
      </c>
      <c r="B251" t="s">
        <v>718</v>
      </c>
      <c r="C251" t="s">
        <v>706</v>
      </c>
      <c r="D251" t="s">
        <v>651</v>
      </c>
      <c r="E251" t="s">
        <v>300</v>
      </c>
      <c r="F251" t="s">
        <v>651</v>
      </c>
      <c r="G251" s="3" t="s">
        <v>476</v>
      </c>
      <c r="H251" t="s">
        <v>651</v>
      </c>
      <c r="I251" t="s">
        <v>544</v>
      </c>
      <c r="J251" t="s">
        <v>651</v>
      </c>
      <c r="K251" t="s">
        <v>478</v>
      </c>
      <c r="L251" t="s">
        <v>651</v>
      </c>
      <c r="M251" t="s">
        <v>476</v>
      </c>
      <c r="N251" t="s">
        <v>651</v>
      </c>
      <c r="O251" t="s">
        <v>492</v>
      </c>
      <c r="P251" t="s">
        <v>719</v>
      </c>
    </row>
    <row r="252" spans="1:16">
      <c r="A252" t="str">
        <f t="shared" si="3"/>
        <v>&lt;tr&gt;&lt;td&gt;2020-Feb-27&lt;/td&gt;&lt;td&gt;Matchday 26&lt;/td&gt;&lt;td&gt;&lt;/td&gt;&lt;td&gt;Chelsea FC &lt;/td&gt;&lt;td&gt; - &lt;/td&gt;&lt;td&gt;&lt;/td&gt;&lt;td&gt;Manchester United&lt;/td&gt;&lt;/tr&gt;</v>
      </c>
      <c r="B252" t="s">
        <v>718</v>
      </c>
      <c r="C252" t="s">
        <v>707</v>
      </c>
      <c r="D252" t="s">
        <v>651</v>
      </c>
      <c r="E252" t="s">
        <v>312</v>
      </c>
      <c r="F252" t="s">
        <v>651</v>
      </c>
      <c r="G252" s="3" t="s">
        <v>476</v>
      </c>
      <c r="H252" t="s">
        <v>651</v>
      </c>
      <c r="I252" t="s">
        <v>528</v>
      </c>
      <c r="J252" t="s">
        <v>651</v>
      </c>
      <c r="K252" t="s">
        <v>478</v>
      </c>
      <c r="L252" t="s">
        <v>651</v>
      </c>
      <c r="M252" t="s">
        <v>476</v>
      </c>
      <c r="N252" t="s">
        <v>651</v>
      </c>
      <c r="O252" t="s">
        <v>479</v>
      </c>
      <c r="P252" t="s">
        <v>719</v>
      </c>
    </row>
    <row r="253" spans="1:16">
      <c r="A253" t="str">
        <f t="shared" si="3"/>
        <v>&lt;tr&gt;&lt;td&gt;2020-Feb-27&lt;/td&gt;&lt;td&gt;Matchday 26&lt;/td&gt;&lt;td&gt;&lt;/td&gt;&lt;td&gt;Crystal Palace FC &lt;/td&gt;&lt;td&gt; - &lt;/td&gt;&lt;td&gt;&lt;/td&gt;&lt;td&gt;Fulham FC&lt;/td&gt;&lt;/tr&gt;</v>
      </c>
      <c r="B253" t="s">
        <v>718</v>
      </c>
      <c r="C253" t="s">
        <v>707</v>
      </c>
      <c r="D253" t="s">
        <v>651</v>
      </c>
      <c r="E253" t="s">
        <v>312</v>
      </c>
      <c r="F253" t="s">
        <v>651</v>
      </c>
      <c r="G253" s="3" t="s">
        <v>476</v>
      </c>
      <c r="H253" t="s">
        <v>651</v>
      </c>
      <c r="I253" t="s">
        <v>529</v>
      </c>
      <c r="J253" t="s">
        <v>651</v>
      </c>
      <c r="K253" t="s">
        <v>478</v>
      </c>
      <c r="L253" t="s">
        <v>651</v>
      </c>
      <c r="M253" t="s">
        <v>476</v>
      </c>
      <c r="N253" t="s">
        <v>651</v>
      </c>
      <c r="O253" t="s">
        <v>482</v>
      </c>
      <c r="P253" t="s">
        <v>719</v>
      </c>
    </row>
    <row r="254" spans="1:16">
      <c r="A254" t="str">
        <f t="shared" si="3"/>
        <v>&lt;tr&gt;&lt;td&gt;2020-Feb-27&lt;/td&gt;&lt;td&gt;Matchday 26&lt;/td&gt;&lt;td&gt;&lt;/td&gt;&lt;td&gt;Everton FC &lt;/td&gt;&lt;td&gt; - &lt;/td&gt;&lt;td&gt;&lt;/td&gt;&lt;td&gt;Southampton FC&lt;/td&gt;&lt;/tr&gt;</v>
      </c>
      <c r="B254" t="s">
        <v>718</v>
      </c>
      <c r="C254" t="s">
        <v>707</v>
      </c>
      <c r="D254" t="s">
        <v>651</v>
      </c>
      <c r="E254" t="s">
        <v>312</v>
      </c>
      <c r="F254" t="s">
        <v>651</v>
      </c>
      <c r="G254" s="3" t="s">
        <v>476</v>
      </c>
      <c r="H254" t="s">
        <v>651</v>
      </c>
      <c r="I254" t="s">
        <v>530</v>
      </c>
      <c r="J254" t="s">
        <v>651</v>
      </c>
      <c r="K254" t="s">
        <v>478</v>
      </c>
      <c r="L254" t="s">
        <v>651</v>
      </c>
      <c r="M254" t="s">
        <v>476</v>
      </c>
      <c r="N254" t="s">
        <v>651</v>
      </c>
      <c r="O254" t="s">
        <v>488</v>
      </c>
      <c r="P254" t="s">
        <v>719</v>
      </c>
    </row>
    <row r="255" spans="1:16">
      <c r="A255" t="str">
        <f t="shared" si="3"/>
        <v>&lt;tr&gt;&lt;td&gt;2020-Feb-27&lt;/td&gt;&lt;td&gt;Matchday 26&lt;/td&gt;&lt;td&gt;&lt;/td&gt;&lt;td&gt;Leeds United FC &lt;/td&gt;&lt;td&gt; - &lt;/td&gt;&lt;td&gt;&lt;/td&gt;&lt;td&gt;Aston Villa FC&lt;/td&gt;&lt;/tr&gt;</v>
      </c>
      <c r="B255" t="s">
        <v>718</v>
      </c>
      <c r="C255" t="s">
        <v>707</v>
      </c>
      <c r="D255" t="s">
        <v>651</v>
      </c>
      <c r="E255" t="s">
        <v>312</v>
      </c>
      <c r="F255" t="s">
        <v>651</v>
      </c>
      <c r="G255" s="3" t="s">
        <v>476</v>
      </c>
      <c r="H255" t="s">
        <v>651</v>
      </c>
      <c r="I255" t="s">
        <v>531</v>
      </c>
      <c r="J255" t="s">
        <v>651</v>
      </c>
      <c r="K255" t="s">
        <v>478</v>
      </c>
      <c r="L255" t="s">
        <v>651</v>
      </c>
      <c r="M255" t="s">
        <v>476</v>
      </c>
      <c r="N255" t="s">
        <v>651</v>
      </c>
      <c r="O255" t="s">
        <v>481</v>
      </c>
      <c r="P255" t="s">
        <v>719</v>
      </c>
    </row>
    <row r="256" spans="1:16">
      <c r="A256" t="str">
        <f t="shared" si="3"/>
        <v>&lt;tr&gt;&lt;td&gt;2020-Feb-27&lt;/td&gt;&lt;td&gt;Matchday 26&lt;/td&gt;&lt;td&gt;&lt;/td&gt;&lt;td&gt;Leicester City FC &lt;/td&gt;&lt;td&gt; - &lt;/td&gt;&lt;td&gt;&lt;/td&gt;&lt;td&gt;Arsenal FC&lt;/td&gt;&lt;/tr&gt;</v>
      </c>
      <c r="B256" t="s">
        <v>718</v>
      </c>
      <c r="C256" t="s">
        <v>707</v>
      </c>
      <c r="D256" t="s">
        <v>651</v>
      </c>
      <c r="E256" t="s">
        <v>312</v>
      </c>
      <c r="F256" t="s">
        <v>651</v>
      </c>
      <c r="G256" s="3" t="s">
        <v>476</v>
      </c>
      <c r="H256" t="s">
        <v>651</v>
      </c>
      <c r="I256" t="s">
        <v>532</v>
      </c>
      <c r="J256" t="s">
        <v>651</v>
      </c>
      <c r="K256" t="s">
        <v>478</v>
      </c>
      <c r="L256" t="s">
        <v>651</v>
      </c>
      <c r="M256" t="s">
        <v>476</v>
      </c>
      <c r="N256" t="s">
        <v>651</v>
      </c>
      <c r="O256" t="s">
        <v>485</v>
      </c>
      <c r="P256" t="s">
        <v>719</v>
      </c>
    </row>
    <row r="257" spans="1:16">
      <c r="A257" t="str">
        <f t="shared" si="3"/>
        <v>&lt;tr&gt;&lt;td&gt;2020-Feb-27&lt;/td&gt;&lt;td&gt;Matchday 26&lt;/td&gt;&lt;td&gt;&lt;/td&gt;&lt;td&gt;Manchester City FC &lt;/td&gt;&lt;td&gt; - &lt;/td&gt;&lt;td&gt;&lt;/td&gt;&lt;td&gt;West Ham United FC&lt;/td&gt;&lt;/tr&gt;</v>
      </c>
      <c r="B257" t="s">
        <v>718</v>
      </c>
      <c r="C257" t="s">
        <v>707</v>
      </c>
      <c r="D257" t="s">
        <v>651</v>
      </c>
      <c r="E257" t="s">
        <v>312</v>
      </c>
      <c r="F257" t="s">
        <v>651</v>
      </c>
      <c r="G257" s="3" t="s">
        <v>476</v>
      </c>
      <c r="H257" t="s">
        <v>651</v>
      </c>
      <c r="I257" t="s">
        <v>480</v>
      </c>
      <c r="J257" t="s">
        <v>651</v>
      </c>
      <c r="K257" t="s">
        <v>478</v>
      </c>
      <c r="L257" t="s">
        <v>651</v>
      </c>
      <c r="M257" t="s">
        <v>476</v>
      </c>
      <c r="N257" t="s">
        <v>651</v>
      </c>
      <c r="O257" t="s">
        <v>493</v>
      </c>
      <c r="P257" t="s">
        <v>719</v>
      </c>
    </row>
    <row r="258" spans="1:16">
      <c r="A258" t="str">
        <f t="shared" si="3"/>
        <v>&lt;tr&gt;&lt;td&gt;2020-Feb-27&lt;/td&gt;&lt;td&gt;Matchday 26&lt;/td&gt;&lt;td&gt;&lt;/td&gt;&lt;td&gt;Newcastle United FC &lt;/td&gt;&lt;td&gt; - &lt;/td&gt;&lt;td&gt;&lt;/td&gt;&lt;td&gt;Wolverhampton Wanderers FC&lt;/td&gt;&lt;/tr&gt;</v>
      </c>
      <c r="B258" t="s">
        <v>718</v>
      </c>
      <c r="C258" t="s">
        <v>707</v>
      </c>
      <c r="D258" t="s">
        <v>651</v>
      </c>
      <c r="E258" t="s">
        <v>312</v>
      </c>
      <c r="F258" t="s">
        <v>651</v>
      </c>
      <c r="G258" s="3" t="s">
        <v>476</v>
      </c>
      <c r="H258" t="s">
        <v>651</v>
      </c>
      <c r="I258" t="s">
        <v>533</v>
      </c>
      <c r="J258" t="s">
        <v>651</v>
      </c>
      <c r="K258" t="s">
        <v>478</v>
      </c>
      <c r="L258" t="s">
        <v>651</v>
      </c>
      <c r="M258" t="s">
        <v>476</v>
      </c>
      <c r="N258" t="s">
        <v>651</v>
      </c>
      <c r="O258" t="s">
        <v>502</v>
      </c>
      <c r="P258" t="s">
        <v>719</v>
      </c>
    </row>
    <row r="259" spans="1:16">
      <c r="A259" t="str">
        <f t="shared" ref="A259:A322" si="4">CONCATENATE(B259,C259,D259,E259,F259,G259,H259,I259,J259,K259,L259,M259,N259,O259,P259)</f>
        <v>&lt;tr&gt;&lt;td&gt;2020-Feb-27&lt;/td&gt;&lt;td&gt;Matchday 26&lt;/td&gt;&lt;td&gt;&lt;/td&gt;&lt;td&gt;Sheffield United FC &lt;/td&gt;&lt;td&gt; - &lt;/td&gt;&lt;td&gt;&lt;/td&gt;&lt;td&gt;Liverpool FC&lt;/td&gt;&lt;/tr&gt;</v>
      </c>
      <c r="B259" t="s">
        <v>718</v>
      </c>
      <c r="C259" t="s">
        <v>707</v>
      </c>
      <c r="D259" t="s">
        <v>651</v>
      </c>
      <c r="E259" t="s">
        <v>312</v>
      </c>
      <c r="F259" t="s">
        <v>651</v>
      </c>
      <c r="G259" s="3" t="s">
        <v>476</v>
      </c>
      <c r="H259" t="s">
        <v>651</v>
      </c>
      <c r="I259" t="s">
        <v>534</v>
      </c>
      <c r="J259" t="s">
        <v>651</v>
      </c>
      <c r="K259" t="s">
        <v>478</v>
      </c>
      <c r="L259" t="s">
        <v>651</v>
      </c>
      <c r="M259" t="s">
        <v>476</v>
      </c>
      <c r="N259" t="s">
        <v>651</v>
      </c>
      <c r="O259" t="s">
        <v>489</v>
      </c>
      <c r="P259" t="s">
        <v>719</v>
      </c>
    </row>
    <row r="260" spans="1:16">
      <c r="A260" t="str">
        <f t="shared" si="4"/>
        <v>&lt;tr&gt;&lt;td&gt;2020-Feb-27&lt;/td&gt;&lt;td&gt;Matchday 26&lt;/td&gt;&lt;td&gt;&lt;/td&gt;&lt;td&gt;Tottenham Hotspur FC &lt;/td&gt;&lt;td&gt; - &lt;/td&gt;&lt;td&gt;&lt;/td&gt;&lt;td&gt;Burnley FC&lt;/td&gt;&lt;/tr&gt;</v>
      </c>
      <c r="B260" t="s">
        <v>718</v>
      </c>
      <c r="C260" t="s">
        <v>707</v>
      </c>
      <c r="D260" t="s">
        <v>651</v>
      </c>
      <c r="E260" t="s">
        <v>312</v>
      </c>
      <c r="F260" t="s">
        <v>651</v>
      </c>
      <c r="G260" s="3" t="s">
        <v>476</v>
      </c>
      <c r="H260" t="s">
        <v>651</v>
      </c>
      <c r="I260" t="s">
        <v>535</v>
      </c>
      <c r="J260" t="s">
        <v>651</v>
      </c>
      <c r="K260" t="s">
        <v>478</v>
      </c>
      <c r="L260" t="s">
        <v>651</v>
      </c>
      <c r="M260" t="s">
        <v>476</v>
      </c>
      <c r="N260" t="s">
        <v>651</v>
      </c>
      <c r="O260" t="s">
        <v>511</v>
      </c>
      <c r="P260" t="s">
        <v>719</v>
      </c>
    </row>
    <row r="261" spans="1:16">
      <c r="A261" t="str">
        <f t="shared" si="4"/>
        <v>&lt;tr&gt;&lt;td&gt;2020-Feb-27&lt;/td&gt;&lt;td&gt;Matchday 26&lt;/td&gt;&lt;td&gt;&lt;/td&gt;&lt;td&gt;West Bromwich Albion FC &lt;/td&gt;&lt;td&gt; - &lt;/td&gt;&lt;td&gt;&lt;/td&gt;&lt;td&gt;Brighton and Hove Albion FC&lt;/td&gt;&lt;/tr&gt;</v>
      </c>
      <c r="B261" t="s">
        <v>718</v>
      </c>
      <c r="C261" t="s">
        <v>707</v>
      </c>
      <c r="D261" t="s">
        <v>651</v>
      </c>
      <c r="E261" t="s">
        <v>312</v>
      </c>
      <c r="F261" t="s">
        <v>651</v>
      </c>
      <c r="G261" s="3" t="s">
        <v>476</v>
      </c>
      <c r="H261" t="s">
        <v>651</v>
      </c>
      <c r="I261" t="s">
        <v>536</v>
      </c>
      <c r="J261" t="s">
        <v>651</v>
      </c>
      <c r="K261" t="s">
        <v>478</v>
      </c>
      <c r="L261" t="s">
        <v>651</v>
      </c>
      <c r="M261" t="s">
        <v>476</v>
      </c>
      <c r="N261" t="s">
        <v>651</v>
      </c>
      <c r="O261" t="s">
        <v>652</v>
      </c>
      <c r="P261" t="s">
        <v>719</v>
      </c>
    </row>
    <row r="262" spans="1:16">
      <c r="A262" t="str">
        <f t="shared" si="4"/>
        <v>&lt;tr&gt;&lt;td&gt;2020-Mar-6&lt;/td&gt;&lt;td&gt;Matchday 27&lt;/td&gt;&lt;td&gt;&lt;/td&gt;&lt;td&gt;Aston Villa FC &lt;/td&gt;&lt;td&gt; - &lt;/td&gt;&lt;td&gt;&lt;/td&gt;&lt;td&gt;Wolverhampton Wanderers FC&lt;/td&gt;&lt;/tr&gt;</v>
      </c>
      <c r="B262" t="s">
        <v>718</v>
      </c>
      <c r="C262" t="s">
        <v>708</v>
      </c>
      <c r="D262" t="s">
        <v>651</v>
      </c>
      <c r="E262" t="s">
        <v>324</v>
      </c>
      <c r="F262" t="s">
        <v>651</v>
      </c>
      <c r="G262" s="3" t="s">
        <v>476</v>
      </c>
      <c r="H262" t="s">
        <v>651</v>
      </c>
      <c r="I262" t="s">
        <v>538</v>
      </c>
      <c r="J262" t="s">
        <v>651</v>
      </c>
      <c r="K262" t="s">
        <v>478</v>
      </c>
      <c r="L262" t="s">
        <v>651</v>
      </c>
      <c r="M262" t="s">
        <v>476</v>
      </c>
      <c r="N262" t="s">
        <v>651</v>
      </c>
      <c r="O262" t="s">
        <v>502</v>
      </c>
      <c r="P262" t="s">
        <v>719</v>
      </c>
    </row>
    <row r="263" spans="1:16">
      <c r="A263" t="str">
        <f t="shared" si="4"/>
        <v>&lt;tr&gt;&lt;td&gt;2020-Mar-6&lt;/td&gt;&lt;td&gt;Matchday 27&lt;/td&gt;&lt;td&gt;&lt;/td&gt;&lt;td&gt;Brighton and Hove Albion FC &lt;/td&gt;&lt;td&gt; - &lt;/td&gt;&lt;td&gt;&lt;/td&gt;&lt;td&gt;Leicester City FC&lt;/td&gt;&lt;/tr&gt;</v>
      </c>
      <c r="B263" t="s">
        <v>718</v>
      </c>
      <c r="C263" t="s">
        <v>708</v>
      </c>
      <c r="D263" t="s">
        <v>651</v>
      </c>
      <c r="E263" t="s">
        <v>324</v>
      </c>
      <c r="F263" t="s">
        <v>651</v>
      </c>
      <c r="G263" s="3" t="s">
        <v>476</v>
      </c>
      <c r="H263" t="s">
        <v>651</v>
      </c>
      <c r="I263" t="s">
        <v>654</v>
      </c>
      <c r="J263" t="s">
        <v>651</v>
      </c>
      <c r="K263" t="s">
        <v>478</v>
      </c>
      <c r="L263" t="s">
        <v>651</v>
      </c>
      <c r="M263" t="s">
        <v>476</v>
      </c>
      <c r="N263" t="s">
        <v>651</v>
      </c>
      <c r="O263" t="s">
        <v>498</v>
      </c>
      <c r="P263" t="s">
        <v>719</v>
      </c>
    </row>
    <row r="264" spans="1:16">
      <c r="A264" t="str">
        <f t="shared" si="4"/>
        <v>&lt;tr&gt;&lt;td&gt;2020-Mar-6&lt;/td&gt;&lt;td&gt;Matchday 27&lt;/td&gt;&lt;td&gt;&lt;/td&gt;&lt;td&gt;Burnley FC &lt;/td&gt;&lt;td&gt; - &lt;/td&gt;&lt;td&gt;&lt;/td&gt;&lt;td&gt;Arsenal FC&lt;/td&gt;&lt;/tr&gt;</v>
      </c>
      <c r="B264" t="s">
        <v>718</v>
      </c>
      <c r="C264" t="s">
        <v>708</v>
      </c>
      <c r="D264" t="s">
        <v>651</v>
      </c>
      <c r="E264" t="s">
        <v>324</v>
      </c>
      <c r="F264" t="s">
        <v>651</v>
      </c>
      <c r="G264" s="3" t="s">
        <v>476</v>
      </c>
      <c r="H264" t="s">
        <v>651</v>
      </c>
      <c r="I264" t="s">
        <v>477</v>
      </c>
      <c r="J264" t="s">
        <v>651</v>
      </c>
      <c r="K264" t="s">
        <v>478</v>
      </c>
      <c r="L264" t="s">
        <v>651</v>
      </c>
      <c r="M264" t="s">
        <v>476</v>
      </c>
      <c r="N264" t="s">
        <v>651</v>
      </c>
      <c r="O264" t="s">
        <v>485</v>
      </c>
      <c r="P264" t="s">
        <v>719</v>
      </c>
    </row>
    <row r="265" spans="1:16">
      <c r="A265" t="str">
        <f t="shared" si="4"/>
        <v>&lt;tr&gt;&lt;td&gt;2020-Mar-6&lt;/td&gt;&lt;td&gt;Matchday 27&lt;/td&gt;&lt;td&gt;&lt;/td&gt;&lt;td&gt;Chelsea FC &lt;/td&gt;&lt;td&gt; - &lt;/td&gt;&lt;td&gt;&lt;/td&gt;&lt;td&gt;Everton FC&lt;/td&gt;&lt;/tr&gt;</v>
      </c>
      <c r="B265" t="s">
        <v>718</v>
      </c>
      <c r="C265" t="s">
        <v>708</v>
      </c>
      <c r="D265" t="s">
        <v>651</v>
      </c>
      <c r="E265" t="s">
        <v>324</v>
      </c>
      <c r="F265" t="s">
        <v>651</v>
      </c>
      <c r="G265" s="3" t="s">
        <v>476</v>
      </c>
      <c r="H265" t="s">
        <v>651</v>
      </c>
      <c r="I265" t="s">
        <v>528</v>
      </c>
      <c r="J265" t="s">
        <v>651</v>
      </c>
      <c r="K265" t="s">
        <v>478</v>
      </c>
      <c r="L265" t="s">
        <v>651</v>
      </c>
      <c r="M265" t="s">
        <v>476</v>
      </c>
      <c r="N265" t="s">
        <v>651</v>
      </c>
      <c r="O265" t="s">
        <v>500</v>
      </c>
      <c r="P265" t="s">
        <v>719</v>
      </c>
    </row>
    <row r="266" spans="1:16">
      <c r="A266" t="str">
        <f t="shared" si="4"/>
        <v>&lt;tr&gt;&lt;td&gt;2020-Mar-6&lt;/td&gt;&lt;td&gt;Matchday 27&lt;/td&gt;&lt;td&gt;&lt;/td&gt;&lt;td&gt;Liverpool FC &lt;/td&gt;&lt;td&gt; - &lt;/td&gt;&lt;td&gt;&lt;/td&gt;&lt;td&gt;Fulham FC&lt;/td&gt;&lt;/tr&gt;</v>
      </c>
      <c r="B266" t="s">
        <v>718</v>
      </c>
      <c r="C266" t="s">
        <v>708</v>
      </c>
      <c r="D266" t="s">
        <v>651</v>
      </c>
      <c r="E266" t="s">
        <v>324</v>
      </c>
      <c r="F266" t="s">
        <v>651</v>
      </c>
      <c r="G266" s="3" t="s">
        <v>476</v>
      </c>
      <c r="H266" t="s">
        <v>651</v>
      </c>
      <c r="I266" t="s">
        <v>540</v>
      </c>
      <c r="J266" t="s">
        <v>651</v>
      </c>
      <c r="K266" t="s">
        <v>478</v>
      </c>
      <c r="L266" t="s">
        <v>651</v>
      </c>
      <c r="M266" t="s">
        <v>476</v>
      </c>
      <c r="N266" t="s">
        <v>651</v>
      </c>
      <c r="O266" t="s">
        <v>482</v>
      </c>
      <c r="P266" t="s">
        <v>719</v>
      </c>
    </row>
    <row r="267" spans="1:16">
      <c r="A267" t="str">
        <f t="shared" si="4"/>
        <v>&lt;tr&gt;&lt;td&gt;2020-Mar-6&lt;/td&gt;&lt;td&gt;Matchday 27&lt;/td&gt;&lt;td&gt;&lt;/td&gt;&lt;td&gt;Manchester City FC &lt;/td&gt;&lt;td&gt; - &lt;/td&gt;&lt;td&gt;&lt;/td&gt;&lt;td&gt;Manchester United&lt;/td&gt;&lt;/tr&gt;</v>
      </c>
      <c r="B267" t="s">
        <v>718</v>
      </c>
      <c r="C267" t="s">
        <v>708</v>
      </c>
      <c r="D267" t="s">
        <v>651</v>
      </c>
      <c r="E267" t="s">
        <v>324</v>
      </c>
      <c r="F267" t="s">
        <v>651</v>
      </c>
      <c r="G267" s="3" t="s">
        <v>476</v>
      </c>
      <c r="H267" t="s">
        <v>651</v>
      </c>
      <c r="I267" t="s">
        <v>480</v>
      </c>
      <c r="J267" t="s">
        <v>651</v>
      </c>
      <c r="K267" t="s">
        <v>478</v>
      </c>
      <c r="L267" t="s">
        <v>651</v>
      </c>
      <c r="M267" t="s">
        <v>476</v>
      </c>
      <c r="N267" t="s">
        <v>651</v>
      </c>
      <c r="O267" t="s">
        <v>479</v>
      </c>
      <c r="P267" t="s">
        <v>719</v>
      </c>
    </row>
    <row r="268" spans="1:16">
      <c r="A268" t="str">
        <f t="shared" si="4"/>
        <v>&lt;tr&gt;&lt;td&gt;2020-Mar-6&lt;/td&gt;&lt;td&gt;Matchday 27&lt;/td&gt;&lt;td&gt;&lt;/td&gt;&lt;td&gt;Sheffield United FC &lt;/td&gt;&lt;td&gt; - &lt;/td&gt;&lt;td&gt;&lt;/td&gt;&lt;td&gt;Southampton FC&lt;/td&gt;&lt;/tr&gt;</v>
      </c>
      <c r="B268" t="s">
        <v>718</v>
      </c>
      <c r="C268" t="s">
        <v>708</v>
      </c>
      <c r="D268" t="s">
        <v>651</v>
      </c>
      <c r="E268" t="s">
        <v>324</v>
      </c>
      <c r="F268" t="s">
        <v>651</v>
      </c>
      <c r="G268" s="3" t="s">
        <v>476</v>
      </c>
      <c r="H268" t="s">
        <v>651</v>
      </c>
      <c r="I268" t="s">
        <v>534</v>
      </c>
      <c r="J268" t="s">
        <v>651</v>
      </c>
      <c r="K268" t="s">
        <v>478</v>
      </c>
      <c r="L268" t="s">
        <v>651</v>
      </c>
      <c r="M268" t="s">
        <v>476</v>
      </c>
      <c r="N268" t="s">
        <v>651</v>
      </c>
      <c r="O268" t="s">
        <v>488</v>
      </c>
      <c r="P268" t="s">
        <v>719</v>
      </c>
    </row>
    <row r="269" spans="1:16">
      <c r="A269" t="str">
        <f t="shared" si="4"/>
        <v>&lt;tr&gt;&lt;td&gt;2020-Mar-6&lt;/td&gt;&lt;td&gt;Matchday 27&lt;/td&gt;&lt;td&gt;&lt;/td&gt;&lt;td&gt;Tottenham Hotspur FC &lt;/td&gt;&lt;td&gt; - &lt;/td&gt;&lt;td&gt;&lt;/td&gt;&lt;td&gt;Crystal Palace FC&lt;/td&gt;&lt;/tr&gt;</v>
      </c>
      <c r="B269" t="s">
        <v>718</v>
      </c>
      <c r="C269" t="s">
        <v>708</v>
      </c>
      <c r="D269" t="s">
        <v>651</v>
      </c>
      <c r="E269" t="s">
        <v>324</v>
      </c>
      <c r="F269" t="s">
        <v>651</v>
      </c>
      <c r="G269" s="3" t="s">
        <v>476</v>
      </c>
      <c r="H269" t="s">
        <v>651</v>
      </c>
      <c r="I269" t="s">
        <v>535</v>
      </c>
      <c r="J269" t="s">
        <v>651</v>
      </c>
      <c r="K269" t="s">
        <v>478</v>
      </c>
      <c r="L269" t="s">
        <v>651</v>
      </c>
      <c r="M269" t="s">
        <v>476</v>
      </c>
      <c r="N269" t="s">
        <v>651</v>
      </c>
      <c r="O269" t="s">
        <v>486</v>
      </c>
      <c r="P269" t="s">
        <v>719</v>
      </c>
    </row>
    <row r="270" spans="1:16">
      <c r="A270" t="str">
        <f t="shared" si="4"/>
        <v>&lt;tr&gt;&lt;td&gt;2020-Mar-6&lt;/td&gt;&lt;td&gt;Matchday 27&lt;/td&gt;&lt;td&gt;&lt;/td&gt;&lt;td&gt;West Bromwich Albion FC &lt;/td&gt;&lt;td&gt; - &lt;/td&gt;&lt;td&gt;&lt;/td&gt;&lt;td&gt;Newcastle United FC&lt;/td&gt;&lt;/tr&gt;</v>
      </c>
      <c r="B270" t="s">
        <v>718</v>
      </c>
      <c r="C270" t="s">
        <v>708</v>
      </c>
      <c r="D270" t="s">
        <v>651</v>
      </c>
      <c r="E270" t="s">
        <v>324</v>
      </c>
      <c r="F270" t="s">
        <v>651</v>
      </c>
      <c r="G270" s="3" t="s">
        <v>476</v>
      </c>
      <c r="H270" t="s">
        <v>651</v>
      </c>
      <c r="I270" t="s">
        <v>536</v>
      </c>
      <c r="J270" t="s">
        <v>651</v>
      </c>
      <c r="K270" t="s">
        <v>478</v>
      </c>
      <c r="L270" t="s">
        <v>651</v>
      </c>
      <c r="M270" t="s">
        <v>476</v>
      </c>
      <c r="N270" t="s">
        <v>651</v>
      </c>
      <c r="O270" t="s">
        <v>496</v>
      </c>
      <c r="P270" t="s">
        <v>719</v>
      </c>
    </row>
    <row r="271" spans="1:16">
      <c r="A271" t="str">
        <f t="shared" si="4"/>
        <v>&lt;tr&gt;&lt;td&gt;2020-Mar-6&lt;/td&gt;&lt;td&gt;Matchday 27&lt;/td&gt;&lt;td&gt;&lt;/td&gt;&lt;td&gt;West Ham United FC &lt;/td&gt;&lt;td&gt; - &lt;/td&gt;&lt;td&gt;&lt;/td&gt;&lt;td&gt;Leeds United FC&lt;/td&gt;&lt;/tr&gt;</v>
      </c>
      <c r="B271" t="s">
        <v>718</v>
      </c>
      <c r="C271" t="s">
        <v>708</v>
      </c>
      <c r="D271" t="s">
        <v>651</v>
      </c>
      <c r="E271" t="s">
        <v>324</v>
      </c>
      <c r="F271" t="s">
        <v>651</v>
      </c>
      <c r="G271" s="3" t="s">
        <v>476</v>
      </c>
      <c r="H271" t="s">
        <v>651</v>
      </c>
      <c r="I271" t="s">
        <v>543</v>
      </c>
      <c r="J271" t="s">
        <v>651</v>
      </c>
      <c r="K271" t="s">
        <v>478</v>
      </c>
      <c r="L271" t="s">
        <v>651</v>
      </c>
      <c r="M271" t="s">
        <v>476</v>
      </c>
      <c r="N271" t="s">
        <v>651</v>
      </c>
      <c r="O271" t="s">
        <v>492</v>
      </c>
      <c r="P271" t="s">
        <v>719</v>
      </c>
    </row>
    <row r="272" spans="1:16">
      <c r="A272" t="str">
        <f t="shared" si="4"/>
        <v>&lt;tr&gt;&lt;td&gt;2020-Mar-13&lt;/td&gt;&lt;td&gt;Matchday 28&lt;/td&gt;&lt;td&gt;&lt;/td&gt;&lt;td&gt;Arsenal FC &lt;/td&gt;&lt;td&gt; - &lt;/td&gt;&lt;td&gt;&lt;/td&gt;&lt;td&gt;Tottenham Hotspur FC&lt;/td&gt;&lt;/tr&gt;</v>
      </c>
      <c r="B272" t="s">
        <v>718</v>
      </c>
      <c r="C272" t="s">
        <v>709</v>
      </c>
      <c r="D272" t="s">
        <v>651</v>
      </c>
      <c r="E272" t="s">
        <v>336</v>
      </c>
      <c r="F272" t="s">
        <v>651</v>
      </c>
      <c r="G272" s="3" t="s">
        <v>476</v>
      </c>
      <c r="H272" t="s">
        <v>651</v>
      </c>
      <c r="I272" t="s">
        <v>537</v>
      </c>
      <c r="J272" t="s">
        <v>651</v>
      </c>
      <c r="K272" t="s">
        <v>478</v>
      </c>
      <c r="L272" t="s">
        <v>651</v>
      </c>
      <c r="M272" t="s">
        <v>476</v>
      </c>
      <c r="N272" t="s">
        <v>651</v>
      </c>
      <c r="O272" t="s">
        <v>499</v>
      </c>
      <c r="P272" t="s">
        <v>719</v>
      </c>
    </row>
    <row r="273" spans="1:16">
      <c r="A273" t="str">
        <f t="shared" si="4"/>
        <v>&lt;tr&gt;&lt;td&gt;2020-Mar-13&lt;/td&gt;&lt;td&gt;Matchday 28&lt;/td&gt;&lt;td&gt;&lt;/td&gt;&lt;td&gt;Crystal Palace FC &lt;/td&gt;&lt;td&gt; - &lt;/td&gt;&lt;td&gt;&lt;/td&gt;&lt;td&gt;West Bromwich Albion FC&lt;/td&gt;&lt;/tr&gt;</v>
      </c>
      <c r="B273" t="s">
        <v>718</v>
      </c>
      <c r="C273" t="s">
        <v>709</v>
      </c>
      <c r="D273" t="s">
        <v>651</v>
      </c>
      <c r="E273" t="s">
        <v>336</v>
      </c>
      <c r="F273" t="s">
        <v>651</v>
      </c>
      <c r="G273" s="3" t="s">
        <v>476</v>
      </c>
      <c r="H273" t="s">
        <v>651</v>
      </c>
      <c r="I273" t="s">
        <v>529</v>
      </c>
      <c r="J273" t="s">
        <v>651</v>
      </c>
      <c r="K273" t="s">
        <v>478</v>
      </c>
      <c r="L273" t="s">
        <v>651</v>
      </c>
      <c r="M273" t="s">
        <v>476</v>
      </c>
      <c r="N273" t="s">
        <v>651</v>
      </c>
      <c r="O273" t="s">
        <v>497</v>
      </c>
      <c r="P273" t="s">
        <v>719</v>
      </c>
    </row>
    <row r="274" spans="1:16">
      <c r="A274" t="str">
        <f t="shared" si="4"/>
        <v>&lt;tr&gt;&lt;td&gt;2020-Mar-13&lt;/td&gt;&lt;td&gt;Matchday 28&lt;/td&gt;&lt;td&gt;&lt;/td&gt;&lt;td&gt;Everton FC &lt;/td&gt;&lt;td&gt; - &lt;/td&gt;&lt;td&gt;&lt;/td&gt;&lt;td&gt;Burnley FC&lt;/td&gt;&lt;/tr&gt;</v>
      </c>
      <c r="B274" t="s">
        <v>718</v>
      </c>
      <c r="C274" t="s">
        <v>709</v>
      </c>
      <c r="D274" t="s">
        <v>651</v>
      </c>
      <c r="E274" t="s">
        <v>336</v>
      </c>
      <c r="F274" t="s">
        <v>651</v>
      </c>
      <c r="G274" s="3" t="s">
        <v>476</v>
      </c>
      <c r="H274" t="s">
        <v>651</v>
      </c>
      <c r="I274" t="s">
        <v>530</v>
      </c>
      <c r="J274" t="s">
        <v>651</v>
      </c>
      <c r="K274" t="s">
        <v>478</v>
      </c>
      <c r="L274" t="s">
        <v>651</v>
      </c>
      <c r="M274" t="s">
        <v>476</v>
      </c>
      <c r="N274" t="s">
        <v>651</v>
      </c>
      <c r="O274" t="s">
        <v>511</v>
      </c>
      <c r="P274" t="s">
        <v>719</v>
      </c>
    </row>
    <row r="275" spans="1:16">
      <c r="A275" t="str">
        <f t="shared" si="4"/>
        <v>&lt;tr&gt;&lt;td&gt;2020-Mar-13&lt;/td&gt;&lt;td&gt;Matchday 28&lt;/td&gt;&lt;td&gt;&lt;/td&gt;&lt;td&gt;Fulham FC &lt;/td&gt;&lt;td&gt; - &lt;/td&gt;&lt;td&gt;&lt;/td&gt;&lt;td&gt;Manchester City FC&lt;/td&gt;&lt;/tr&gt;</v>
      </c>
      <c r="B275" t="s">
        <v>718</v>
      </c>
      <c r="C275" t="s">
        <v>709</v>
      </c>
      <c r="D275" t="s">
        <v>651</v>
      </c>
      <c r="E275" t="s">
        <v>336</v>
      </c>
      <c r="F275" t="s">
        <v>651</v>
      </c>
      <c r="G275" s="3" t="s">
        <v>476</v>
      </c>
      <c r="H275" t="s">
        <v>651</v>
      </c>
      <c r="I275" t="s">
        <v>539</v>
      </c>
      <c r="J275" t="s">
        <v>651</v>
      </c>
      <c r="K275" t="s">
        <v>478</v>
      </c>
      <c r="L275" t="s">
        <v>651</v>
      </c>
      <c r="M275" t="s">
        <v>476</v>
      </c>
      <c r="N275" t="s">
        <v>651</v>
      </c>
      <c r="O275" t="s">
        <v>512</v>
      </c>
      <c r="P275" t="s">
        <v>719</v>
      </c>
    </row>
    <row r="276" spans="1:16">
      <c r="A276" t="str">
        <f t="shared" si="4"/>
        <v>&lt;tr&gt;&lt;td&gt;2020-Mar-13&lt;/td&gt;&lt;td&gt;Matchday 28&lt;/td&gt;&lt;td&gt;&lt;/td&gt;&lt;td&gt;Leeds United FC &lt;/td&gt;&lt;td&gt; - &lt;/td&gt;&lt;td&gt;&lt;/td&gt;&lt;td&gt;Chelsea FC&lt;/td&gt;&lt;/tr&gt;</v>
      </c>
      <c r="B276" t="s">
        <v>718</v>
      </c>
      <c r="C276" t="s">
        <v>709</v>
      </c>
      <c r="D276" t="s">
        <v>651</v>
      </c>
      <c r="E276" t="s">
        <v>336</v>
      </c>
      <c r="F276" t="s">
        <v>651</v>
      </c>
      <c r="G276" s="3" t="s">
        <v>476</v>
      </c>
      <c r="H276" t="s">
        <v>651</v>
      </c>
      <c r="I276" t="s">
        <v>531</v>
      </c>
      <c r="J276" t="s">
        <v>651</v>
      </c>
      <c r="K276" t="s">
        <v>478</v>
      </c>
      <c r="L276" t="s">
        <v>651</v>
      </c>
      <c r="M276" t="s">
        <v>476</v>
      </c>
      <c r="N276" t="s">
        <v>651</v>
      </c>
      <c r="O276" t="s">
        <v>504</v>
      </c>
      <c r="P276" t="s">
        <v>719</v>
      </c>
    </row>
    <row r="277" spans="1:16">
      <c r="A277" t="str">
        <f t="shared" si="4"/>
        <v>&lt;tr&gt;&lt;td&gt;2020-Mar-13&lt;/td&gt;&lt;td&gt;Matchday 28&lt;/td&gt;&lt;td&gt;&lt;/td&gt;&lt;td&gt;Leicester City FC &lt;/td&gt;&lt;td&gt; - &lt;/td&gt;&lt;td&gt;&lt;/td&gt;&lt;td&gt;Sheffield United FC&lt;/td&gt;&lt;/tr&gt;</v>
      </c>
      <c r="B277" t="s">
        <v>718</v>
      </c>
      <c r="C277" t="s">
        <v>709</v>
      </c>
      <c r="D277" t="s">
        <v>651</v>
      </c>
      <c r="E277" t="s">
        <v>336</v>
      </c>
      <c r="F277" t="s">
        <v>651</v>
      </c>
      <c r="G277" s="3" t="s">
        <v>476</v>
      </c>
      <c r="H277" t="s">
        <v>651</v>
      </c>
      <c r="I277" t="s">
        <v>532</v>
      </c>
      <c r="J277" t="s">
        <v>651</v>
      </c>
      <c r="K277" t="s">
        <v>478</v>
      </c>
      <c r="L277" t="s">
        <v>651</v>
      </c>
      <c r="M277" t="s">
        <v>476</v>
      </c>
      <c r="N277" t="s">
        <v>651</v>
      </c>
      <c r="O277" t="s">
        <v>501</v>
      </c>
      <c r="P277" t="s">
        <v>719</v>
      </c>
    </row>
    <row r="278" spans="1:16">
      <c r="A278" t="str">
        <f t="shared" si="4"/>
        <v>&lt;tr&gt;&lt;td&gt;2020-Mar-13&lt;/td&gt;&lt;td&gt;Matchday 28&lt;/td&gt;&lt;td&gt;&lt;/td&gt;&lt;td&gt;Manchester United    &lt;/td&gt;&lt;td&gt; - &lt;/td&gt;&lt;td&gt;&lt;/td&gt;&lt;td&gt;West Ham United FC&lt;/td&gt;&lt;/tr&gt;</v>
      </c>
      <c r="B278" t="s">
        <v>718</v>
      </c>
      <c r="C278" t="s">
        <v>709</v>
      </c>
      <c r="D278" t="s">
        <v>651</v>
      </c>
      <c r="E278" t="s">
        <v>336</v>
      </c>
      <c r="F278" t="s">
        <v>651</v>
      </c>
      <c r="G278" s="3" t="s">
        <v>476</v>
      </c>
      <c r="H278" t="s">
        <v>651</v>
      </c>
      <c r="I278" t="s">
        <v>541</v>
      </c>
      <c r="J278" t="s">
        <v>651</v>
      </c>
      <c r="K278" t="s">
        <v>478</v>
      </c>
      <c r="L278" t="s">
        <v>651</v>
      </c>
      <c r="M278" t="s">
        <v>476</v>
      </c>
      <c r="N278" t="s">
        <v>651</v>
      </c>
      <c r="O278" t="s">
        <v>493</v>
      </c>
      <c r="P278" t="s">
        <v>719</v>
      </c>
    </row>
    <row r="279" spans="1:16">
      <c r="A279" t="str">
        <f t="shared" si="4"/>
        <v>&lt;tr&gt;&lt;td&gt;2020-Mar-13&lt;/td&gt;&lt;td&gt;Matchday 28&lt;/td&gt;&lt;td&gt;&lt;/td&gt;&lt;td&gt;Newcastle United FC &lt;/td&gt;&lt;td&gt; - &lt;/td&gt;&lt;td&gt;&lt;/td&gt;&lt;td&gt;Aston Villa FC&lt;/td&gt;&lt;/tr&gt;</v>
      </c>
      <c r="B279" t="s">
        <v>718</v>
      </c>
      <c r="C279" t="s">
        <v>709</v>
      </c>
      <c r="D279" t="s">
        <v>651</v>
      </c>
      <c r="E279" t="s">
        <v>336</v>
      </c>
      <c r="F279" t="s">
        <v>651</v>
      </c>
      <c r="G279" s="3" t="s">
        <v>476</v>
      </c>
      <c r="H279" t="s">
        <v>651</v>
      </c>
      <c r="I279" t="s">
        <v>533</v>
      </c>
      <c r="J279" t="s">
        <v>651</v>
      </c>
      <c r="K279" t="s">
        <v>478</v>
      </c>
      <c r="L279" t="s">
        <v>651</v>
      </c>
      <c r="M279" t="s">
        <v>476</v>
      </c>
      <c r="N279" t="s">
        <v>651</v>
      </c>
      <c r="O279" t="s">
        <v>481</v>
      </c>
      <c r="P279" t="s">
        <v>719</v>
      </c>
    </row>
    <row r="280" spans="1:16">
      <c r="A280" t="str">
        <f t="shared" si="4"/>
        <v>&lt;tr&gt;&lt;td&gt;2020-Mar-13&lt;/td&gt;&lt;td&gt;Matchday 28&lt;/td&gt;&lt;td&gt;&lt;/td&gt;&lt;td&gt;Southampton FC &lt;/td&gt;&lt;td&gt; - &lt;/td&gt;&lt;td&gt;&lt;/td&gt;&lt;td&gt;Brighton and Hove Albion FC&lt;/td&gt;&lt;/tr&gt;</v>
      </c>
      <c r="B280" t="s">
        <v>718</v>
      </c>
      <c r="C280" t="s">
        <v>709</v>
      </c>
      <c r="D280" t="s">
        <v>651</v>
      </c>
      <c r="E280" t="s">
        <v>336</v>
      </c>
      <c r="F280" t="s">
        <v>651</v>
      </c>
      <c r="G280" s="3" t="s">
        <v>476</v>
      </c>
      <c r="H280" t="s">
        <v>651</v>
      </c>
      <c r="I280" t="s">
        <v>542</v>
      </c>
      <c r="J280" t="s">
        <v>651</v>
      </c>
      <c r="K280" t="s">
        <v>478</v>
      </c>
      <c r="L280" t="s">
        <v>651</v>
      </c>
      <c r="M280" t="s">
        <v>476</v>
      </c>
      <c r="N280" t="s">
        <v>651</v>
      </c>
      <c r="O280" t="s">
        <v>652</v>
      </c>
      <c r="P280" t="s">
        <v>719</v>
      </c>
    </row>
    <row r="281" spans="1:16">
      <c r="A281" t="str">
        <f t="shared" si="4"/>
        <v>&lt;tr&gt;&lt;td&gt;2020-Mar-13&lt;/td&gt;&lt;td&gt;Matchday 28&lt;/td&gt;&lt;td&gt;&lt;/td&gt;&lt;td&gt;Wolverhampton Wanderers FC &lt;/td&gt;&lt;td&gt; - &lt;/td&gt;&lt;td&gt;&lt;/td&gt;&lt;td&gt;Liverpool FC&lt;/td&gt;&lt;/tr&gt;</v>
      </c>
      <c r="B281" t="s">
        <v>718</v>
      </c>
      <c r="C281" t="s">
        <v>709</v>
      </c>
      <c r="D281" t="s">
        <v>651</v>
      </c>
      <c r="E281" t="s">
        <v>336</v>
      </c>
      <c r="F281" t="s">
        <v>651</v>
      </c>
      <c r="G281" s="3" t="s">
        <v>476</v>
      </c>
      <c r="H281" t="s">
        <v>651</v>
      </c>
      <c r="I281" t="s">
        <v>544</v>
      </c>
      <c r="J281" t="s">
        <v>651</v>
      </c>
      <c r="K281" t="s">
        <v>478</v>
      </c>
      <c r="L281" t="s">
        <v>651</v>
      </c>
      <c r="M281" t="s">
        <v>476</v>
      </c>
      <c r="N281" t="s">
        <v>651</v>
      </c>
      <c r="O281" t="s">
        <v>489</v>
      </c>
      <c r="P281" t="s">
        <v>719</v>
      </c>
    </row>
    <row r="282" spans="1:16">
      <c r="A282" t="str">
        <f t="shared" si="4"/>
        <v>&lt;tr&gt;&lt;td&gt;2020-Mar-20&lt;/td&gt;&lt;td&gt;Matchday 29&lt;/td&gt;&lt;td&gt;&lt;/td&gt;&lt;td&gt;Brighton and Hove Albion FC &lt;/td&gt;&lt;td&gt; - &lt;/td&gt;&lt;td&gt;&lt;/td&gt;&lt;td&gt;Newcastle United FC&lt;/td&gt;&lt;/tr&gt;</v>
      </c>
      <c r="B282" t="s">
        <v>718</v>
      </c>
      <c r="C282" t="s">
        <v>710</v>
      </c>
      <c r="D282" t="s">
        <v>651</v>
      </c>
      <c r="E282" t="s">
        <v>348</v>
      </c>
      <c r="F282" t="s">
        <v>651</v>
      </c>
      <c r="G282" s="3" t="s">
        <v>476</v>
      </c>
      <c r="H282" t="s">
        <v>651</v>
      </c>
      <c r="I282" t="s">
        <v>654</v>
      </c>
      <c r="J282" t="s">
        <v>651</v>
      </c>
      <c r="K282" t="s">
        <v>478</v>
      </c>
      <c r="L282" t="s">
        <v>651</v>
      </c>
      <c r="M282" t="s">
        <v>476</v>
      </c>
      <c r="N282" t="s">
        <v>651</v>
      </c>
      <c r="O282" t="s">
        <v>496</v>
      </c>
      <c r="P282" t="s">
        <v>719</v>
      </c>
    </row>
    <row r="283" spans="1:16">
      <c r="A283" t="str">
        <f t="shared" si="4"/>
        <v>&lt;tr&gt;&lt;td&gt;2020-Mar-20&lt;/td&gt;&lt;td&gt;Matchday 29&lt;/td&gt;&lt;td&gt;&lt;/td&gt;&lt;td&gt;Burnley FC &lt;/td&gt;&lt;td&gt; - &lt;/td&gt;&lt;td&gt;&lt;/td&gt;&lt;td&gt;Leicester City FC&lt;/td&gt;&lt;/tr&gt;</v>
      </c>
      <c r="B283" t="s">
        <v>718</v>
      </c>
      <c r="C283" t="s">
        <v>710</v>
      </c>
      <c r="D283" t="s">
        <v>651</v>
      </c>
      <c r="E283" t="s">
        <v>348</v>
      </c>
      <c r="F283" t="s">
        <v>651</v>
      </c>
      <c r="G283" s="3" t="s">
        <v>476</v>
      </c>
      <c r="H283" t="s">
        <v>651</v>
      </c>
      <c r="I283" t="s">
        <v>477</v>
      </c>
      <c r="J283" t="s">
        <v>651</v>
      </c>
      <c r="K283" t="s">
        <v>478</v>
      </c>
      <c r="L283" t="s">
        <v>651</v>
      </c>
      <c r="M283" t="s">
        <v>476</v>
      </c>
      <c r="N283" t="s">
        <v>651</v>
      </c>
      <c r="O283" t="s">
        <v>498</v>
      </c>
      <c r="P283" t="s">
        <v>719</v>
      </c>
    </row>
    <row r="284" spans="1:16">
      <c r="A284" t="str">
        <f t="shared" si="4"/>
        <v>&lt;tr&gt;&lt;td&gt;2020-Mar-20&lt;/td&gt;&lt;td&gt;Matchday 29&lt;/td&gt;&lt;td&gt;&lt;/td&gt;&lt;td&gt;Crystal Palace FC &lt;/td&gt;&lt;td&gt; - &lt;/td&gt;&lt;td&gt;&lt;/td&gt;&lt;td&gt;Manchester United&lt;/td&gt;&lt;/tr&gt;</v>
      </c>
      <c r="B284" t="s">
        <v>718</v>
      </c>
      <c r="C284" t="s">
        <v>710</v>
      </c>
      <c r="D284" t="s">
        <v>651</v>
      </c>
      <c r="E284" t="s">
        <v>348</v>
      </c>
      <c r="F284" t="s">
        <v>651</v>
      </c>
      <c r="G284" s="3" t="s">
        <v>476</v>
      </c>
      <c r="H284" t="s">
        <v>651</v>
      </c>
      <c r="I284" t="s">
        <v>529</v>
      </c>
      <c r="J284" t="s">
        <v>651</v>
      </c>
      <c r="K284" t="s">
        <v>478</v>
      </c>
      <c r="L284" t="s">
        <v>651</v>
      </c>
      <c r="M284" t="s">
        <v>476</v>
      </c>
      <c r="N284" t="s">
        <v>651</v>
      </c>
      <c r="O284" t="s">
        <v>479</v>
      </c>
      <c r="P284" t="s">
        <v>719</v>
      </c>
    </row>
    <row r="285" spans="1:16">
      <c r="A285" t="str">
        <f t="shared" si="4"/>
        <v>&lt;tr&gt;&lt;td&gt;2020-Mar-20&lt;/td&gt;&lt;td&gt;Matchday 29&lt;/td&gt;&lt;td&gt;&lt;/td&gt;&lt;td&gt;Fulham FC &lt;/td&gt;&lt;td&gt; - &lt;/td&gt;&lt;td&gt;&lt;/td&gt;&lt;td&gt;Leeds United FC&lt;/td&gt;&lt;/tr&gt;</v>
      </c>
      <c r="B285" t="s">
        <v>718</v>
      </c>
      <c r="C285" t="s">
        <v>710</v>
      </c>
      <c r="D285" t="s">
        <v>651</v>
      </c>
      <c r="E285" t="s">
        <v>348</v>
      </c>
      <c r="F285" t="s">
        <v>651</v>
      </c>
      <c r="G285" s="3" t="s">
        <v>476</v>
      </c>
      <c r="H285" t="s">
        <v>651</v>
      </c>
      <c r="I285" t="s">
        <v>539</v>
      </c>
      <c r="J285" t="s">
        <v>651</v>
      </c>
      <c r="K285" t="s">
        <v>478</v>
      </c>
      <c r="L285" t="s">
        <v>651</v>
      </c>
      <c r="M285" t="s">
        <v>476</v>
      </c>
      <c r="N285" t="s">
        <v>651</v>
      </c>
      <c r="O285" t="s">
        <v>492</v>
      </c>
      <c r="P285" t="s">
        <v>719</v>
      </c>
    </row>
    <row r="286" spans="1:16">
      <c r="A286" t="str">
        <f t="shared" si="4"/>
        <v>&lt;tr&gt;&lt;td&gt;2020-Mar-20&lt;/td&gt;&lt;td&gt;Matchday 29&lt;/td&gt;&lt;td&gt;&lt;/td&gt;&lt;td&gt;Liverpool FC &lt;/td&gt;&lt;td&gt; - &lt;/td&gt;&lt;td&gt;&lt;/td&gt;&lt;td&gt;Chelsea FC&lt;/td&gt;&lt;/tr&gt;</v>
      </c>
      <c r="B286" t="s">
        <v>718</v>
      </c>
      <c r="C286" t="s">
        <v>710</v>
      </c>
      <c r="D286" t="s">
        <v>651</v>
      </c>
      <c r="E286" t="s">
        <v>348</v>
      </c>
      <c r="F286" t="s">
        <v>651</v>
      </c>
      <c r="G286" s="3" t="s">
        <v>476</v>
      </c>
      <c r="H286" t="s">
        <v>651</v>
      </c>
      <c r="I286" t="s">
        <v>540</v>
      </c>
      <c r="J286" t="s">
        <v>651</v>
      </c>
      <c r="K286" t="s">
        <v>478</v>
      </c>
      <c r="L286" t="s">
        <v>651</v>
      </c>
      <c r="M286" t="s">
        <v>476</v>
      </c>
      <c r="N286" t="s">
        <v>651</v>
      </c>
      <c r="O286" t="s">
        <v>504</v>
      </c>
      <c r="P286" t="s">
        <v>719</v>
      </c>
    </row>
    <row r="287" spans="1:16">
      <c r="A287" t="str">
        <f t="shared" si="4"/>
        <v>&lt;tr&gt;&lt;td&gt;2020-Mar-20&lt;/td&gt;&lt;td&gt;Matchday 29&lt;/td&gt;&lt;td&gt;&lt;/td&gt;&lt;td&gt;Manchester City FC &lt;/td&gt;&lt;td&gt; - &lt;/td&gt;&lt;td&gt;&lt;/td&gt;&lt;td&gt;Wolverhampton Wanderers FC&lt;/td&gt;&lt;/tr&gt;</v>
      </c>
      <c r="B287" t="s">
        <v>718</v>
      </c>
      <c r="C287" t="s">
        <v>710</v>
      </c>
      <c r="D287" t="s">
        <v>651</v>
      </c>
      <c r="E287" t="s">
        <v>348</v>
      </c>
      <c r="F287" t="s">
        <v>651</v>
      </c>
      <c r="G287" s="3" t="s">
        <v>476</v>
      </c>
      <c r="H287" t="s">
        <v>651</v>
      </c>
      <c r="I287" t="s">
        <v>480</v>
      </c>
      <c r="J287" t="s">
        <v>651</v>
      </c>
      <c r="K287" t="s">
        <v>478</v>
      </c>
      <c r="L287" t="s">
        <v>651</v>
      </c>
      <c r="M287" t="s">
        <v>476</v>
      </c>
      <c r="N287" t="s">
        <v>651</v>
      </c>
      <c r="O287" t="s">
        <v>502</v>
      </c>
      <c r="P287" t="s">
        <v>719</v>
      </c>
    </row>
    <row r="288" spans="1:16">
      <c r="A288" t="str">
        <f t="shared" si="4"/>
        <v>&lt;tr&gt;&lt;td&gt;2020-Mar-20&lt;/td&gt;&lt;td&gt;Matchday 29&lt;/td&gt;&lt;td&gt;&lt;/td&gt;&lt;td&gt;Sheffield United FC &lt;/td&gt;&lt;td&gt; - &lt;/td&gt;&lt;td&gt;&lt;/td&gt;&lt;td&gt;Aston Villa FC&lt;/td&gt;&lt;/tr&gt;</v>
      </c>
      <c r="B288" t="s">
        <v>718</v>
      </c>
      <c r="C288" t="s">
        <v>710</v>
      </c>
      <c r="D288" t="s">
        <v>651</v>
      </c>
      <c r="E288" t="s">
        <v>348</v>
      </c>
      <c r="F288" t="s">
        <v>651</v>
      </c>
      <c r="G288" s="3" t="s">
        <v>476</v>
      </c>
      <c r="H288" t="s">
        <v>651</v>
      </c>
      <c r="I288" t="s">
        <v>534</v>
      </c>
      <c r="J288" t="s">
        <v>651</v>
      </c>
      <c r="K288" t="s">
        <v>478</v>
      </c>
      <c r="L288" t="s">
        <v>651</v>
      </c>
      <c r="M288" t="s">
        <v>476</v>
      </c>
      <c r="N288" t="s">
        <v>651</v>
      </c>
      <c r="O288" t="s">
        <v>481</v>
      </c>
      <c r="P288" t="s">
        <v>719</v>
      </c>
    </row>
    <row r="289" spans="1:16">
      <c r="A289" t="str">
        <f t="shared" si="4"/>
        <v>&lt;tr&gt;&lt;td&gt;2020-Mar-20&lt;/td&gt;&lt;td&gt;Matchday 29&lt;/td&gt;&lt;td&gt;&lt;/td&gt;&lt;td&gt;Tottenham Hotspur FC &lt;/td&gt;&lt;td&gt; - &lt;/td&gt;&lt;td&gt;&lt;/td&gt;&lt;td&gt;Southampton FC&lt;/td&gt;&lt;/tr&gt;</v>
      </c>
      <c r="B289" t="s">
        <v>718</v>
      </c>
      <c r="C289" t="s">
        <v>710</v>
      </c>
      <c r="D289" t="s">
        <v>651</v>
      </c>
      <c r="E289" t="s">
        <v>348</v>
      </c>
      <c r="F289" t="s">
        <v>651</v>
      </c>
      <c r="G289" s="3" t="s">
        <v>476</v>
      </c>
      <c r="H289" t="s">
        <v>651</v>
      </c>
      <c r="I289" t="s">
        <v>535</v>
      </c>
      <c r="J289" t="s">
        <v>651</v>
      </c>
      <c r="K289" t="s">
        <v>478</v>
      </c>
      <c r="L289" t="s">
        <v>651</v>
      </c>
      <c r="M289" t="s">
        <v>476</v>
      </c>
      <c r="N289" t="s">
        <v>651</v>
      </c>
      <c r="O289" t="s">
        <v>488</v>
      </c>
      <c r="P289" t="s">
        <v>719</v>
      </c>
    </row>
    <row r="290" spans="1:16">
      <c r="A290" t="str">
        <f t="shared" si="4"/>
        <v>&lt;tr&gt;&lt;td&gt;2020-Mar-20&lt;/td&gt;&lt;td&gt;Matchday 29&lt;/td&gt;&lt;td&gt;&lt;/td&gt;&lt;td&gt;West Bromwich Albion FC &lt;/td&gt;&lt;td&gt; - &lt;/td&gt;&lt;td&gt;&lt;/td&gt;&lt;td&gt;Everton FC&lt;/td&gt;&lt;/tr&gt;</v>
      </c>
      <c r="B290" t="s">
        <v>718</v>
      </c>
      <c r="C290" t="s">
        <v>710</v>
      </c>
      <c r="D290" t="s">
        <v>651</v>
      </c>
      <c r="E290" t="s">
        <v>348</v>
      </c>
      <c r="F290" t="s">
        <v>651</v>
      </c>
      <c r="G290" s="3" t="s">
        <v>476</v>
      </c>
      <c r="H290" t="s">
        <v>651</v>
      </c>
      <c r="I290" t="s">
        <v>536</v>
      </c>
      <c r="J290" t="s">
        <v>651</v>
      </c>
      <c r="K290" t="s">
        <v>478</v>
      </c>
      <c r="L290" t="s">
        <v>651</v>
      </c>
      <c r="M290" t="s">
        <v>476</v>
      </c>
      <c r="N290" t="s">
        <v>651</v>
      </c>
      <c r="O290" t="s">
        <v>500</v>
      </c>
      <c r="P290" t="s">
        <v>719</v>
      </c>
    </row>
    <row r="291" spans="1:16">
      <c r="A291" t="str">
        <f t="shared" si="4"/>
        <v>&lt;tr&gt;&lt;td&gt;2020-Mar-20&lt;/td&gt;&lt;td&gt;Matchday 29&lt;/td&gt;&lt;td&gt;&lt;/td&gt;&lt;td&gt;West Ham United FC &lt;/td&gt;&lt;td&gt; - &lt;/td&gt;&lt;td&gt;&lt;/td&gt;&lt;td&gt;Arsenal FC&lt;/td&gt;&lt;/tr&gt;</v>
      </c>
      <c r="B291" t="s">
        <v>718</v>
      </c>
      <c r="C291" t="s">
        <v>710</v>
      </c>
      <c r="D291" t="s">
        <v>651</v>
      </c>
      <c r="E291" t="s">
        <v>348</v>
      </c>
      <c r="F291" t="s">
        <v>651</v>
      </c>
      <c r="G291" s="3" t="s">
        <v>476</v>
      </c>
      <c r="H291" t="s">
        <v>651</v>
      </c>
      <c r="I291" t="s">
        <v>543</v>
      </c>
      <c r="J291" t="s">
        <v>651</v>
      </c>
      <c r="K291" t="s">
        <v>478</v>
      </c>
      <c r="L291" t="s">
        <v>651</v>
      </c>
      <c r="M291" t="s">
        <v>476</v>
      </c>
      <c r="N291" t="s">
        <v>651</v>
      </c>
      <c r="O291" t="s">
        <v>485</v>
      </c>
      <c r="P291" t="s">
        <v>719</v>
      </c>
    </row>
    <row r="292" spans="1:16">
      <c r="A292" t="str">
        <f t="shared" si="4"/>
        <v>&lt;tr&gt;&lt;td&gt;2020-Apr-3&lt;/td&gt;&lt;td&gt;Matchday 30&lt;/td&gt;&lt;td&gt;&lt;/td&gt;&lt;td&gt;Arsenal FC &lt;/td&gt;&lt;td&gt; - &lt;/td&gt;&lt;td&gt;&lt;/td&gt;&lt;td&gt;Liverpool FC&lt;/td&gt;&lt;/tr&gt;</v>
      </c>
      <c r="B292" t="s">
        <v>718</v>
      </c>
      <c r="C292" t="s">
        <v>711</v>
      </c>
      <c r="D292" t="s">
        <v>651</v>
      </c>
      <c r="E292" t="s">
        <v>360</v>
      </c>
      <c r="F292" t="s">
        <v>651</v>
      </c>
      <c r="G292" s="3" t="s">
        <v>476</v>
      </c>
      <c r="H292" t="s">
        <v>651</v>
      </c>
      <c r="I292" t="s">
        <v>537</v>
      </c>
      <c r="J292" t="s">
        <v>651</v>
      </c>
      <c r="K292" t="s">
        <v>478</v>
      </c>
      <c r="L292" t="s">
        <v>651</v>
      </c>
      <c r="M292" t="s">
        <v>476</v>
      </c>
      <c r="N292" t="s">
        <v>651</v>
      </c>
      <c r="O292" t="s">
        <v>489</v>
      </c>
      <c r="P292" t="s">
        <v>719</v>
      </c>
    </row>
    <row r="293" spans="1:16">
      <c r="A293" t="str">
        <f t="shared" si="4"/>
        <v>&lt;tr&gt;&lt;td&gt;2020-Apr-3&lt;/td&gt;&lt;td&gt;Matchday 30&lt;/td&gt;&lt;td&gt;&lt;/td&gt;&lt;td&gt;Aston Villa FC &lt;/td&gt;&lt;td&gt; - &lt;/td&gt;&lt;td&gt;&lt;/td&gt;&lt;td&gt;Fulham FC&lt;/td&gt;&lt;/tr&gt;</v>
      </c>
      <c r="B293" t="s">
        <v>718</v>
      </c>
      <c r="C293" t="s">
        <v>711</v>
      </c>
      <c r="D293" t="s">
        <v>651</v>
      </c>
      <c r="E293" t="s">
        <v>360</v>
      </c>
      <c r="F293" t="s">
        <v>651</v>
      </c>
      <c r="G293" s="3" t="s">
        <v>476</v>
      </c>
      <c r="H293" t="s">
        <v>651</v>
      </c>
      <c r="I293" t="s">
        <v>538</v>
      </c>
      <c r="J293" t="s">
        <v>651</v>
      </c>
      <c r="K293" t="s">
        <v>478</v>
      </c>
      <c r="L293" t="s">
        <v>651</v>
      </c>
      <c r="M293" t="s">
        <v>476</v>
      </c>
      <c r="N293" t="s">
        <v>651</v>
      </c>
      <c r="O293" t="s">
        <v>482</v>
      </c>
      <c r="P293" t="s">
        <v>719</v>
      </c>
    </row>
    <row r="294" spans="1:16">
      <c r="A294" t="str">
        <f t="shared" si="4"/>
        <v>&lt;tr&gt;&lt;td&gt;2020-Apr-3&lt;/td&gt;&lt;td&gt;Matchday 30&lt;/td&gt;&lt;td&gt;&lt;/td&gt;&lt;td&gt;Chelsea FC &lt;/td&gt;&lt;td&gt; - &lt;/td&gt;&lt;td&gt;&lt;/td&gt;&lt;td&gt;West Bromwich Albion FC&lt;/td&gt;&lt;/tr&gt;</v>
      </c>
      <c r="B294" t="s">
        <v>718</v>
      </c>
      <c r="C294" t="s">
        <v>711</v>
      </c>
      <c r="D294" t="s">
        <v>651</v>
      </c>
      <c r="E294" t="s">
        <v>360</v>
      </c>
      <c r="F294" t="s">
        <v>651</v>
      </c>
      <c r="G294" s="3" t="s">
        <v>476</v>
      </c>
      <c r="H294" t="s">
        <v>651</v>
      </c>
      <c r="I294" t="s">
        <v>528</v>
      </c>
      <c r="J294" t="s">
        <v>651</v>
      </c>
      <c r="K294" t="s">
        <v>478</v>
      </c>
      <c r="L294" t="s">
        <v>651</v>
      </c>
      <c r="M294" t="s">
        <v>476</v>
      </c>
      <c r="N294" t="s">
        <v>651</v>
      </c>
      <c r="O294" t="s">
        <v>497</v>
      </c>
      <c r="P294" t="s">
        <v>719</v>
      </c>
    </row>
    <row r="295" spans="1:16">
      <c r="A295" t="str">
        <f t="shared" si="4"/>
        <v>&lt;tr&gt;&lt;td&gt;2020-Apr-3&lt;/td&gt;&lt;td&gt;Matchday 30&lt;/td&gt;&lt;td&gt;&lt;/td&gt;&lt;td&gt;Everton FC &lt;/td&gt;&lt;td&gt; - &lt;/td&gt;&lt;td&gt;&lt;/td&gt;&lt;td&gt;Crystal Palace FC&lt;/td&gt;&lt;/tr&gt;</v>
      </c>
      <c r="B295" t="s">
        <v>718</v>
      </c>
      <c r="C295" t="s">
        <v>711</v>
      </c>
      <c r="D295" t="s">
        <v>651</v>
      </c>
      <c r="E295" t="s">
        <v>360</v>
      </c>
      <c r="F295" t="s">
        <v>651</v>
      </c>
      <c r="G295" s="3" t="s">
        <v>476</v>
      </c>
      <c r="H295" t="s">
        <v>651</v>
      </c>
      <c r="I295" t="s">
        <v>530</v>
      </c>
      <c r="J295" t="s">
        <v>651</v>
      </c>
      <c r="K295" t="s">
        <v>478</v>
      </c>
      <c r="L295" t="s">
        <v>651</v>
      </c>
      <c r="M295" t="s">
        <v>476</v>
      </c>
      <c r="N295" t="s">
        <v>651</v>
      </c>
      <c r="O295" t="s">
        <v>486</v>
      </c>
      <c r="P295" t="s">
        <v>719</v>
      </c>
    </row>
    <row r="296" spans="1:16">
      <c r="A296" t="str">
        <f t="shared" si="4"/>
        <v>&lt;tr&gt;&lt;td&gt;2020-Apr-3&lt;/td&gt;&lt;td&gt;Matchday 30&lt;/td&gt;&lt;td&gt;&lt;/td&gt;&lt;td&gt;Leeds United FC &lt;/td&gt;&lt;td&gt; - &lt;/td&gt;&lt;td&gt;&lt;/td&gt;&lt;td&gt;Sheffield United FC&lt;/td&gt;&lt;/tr&gt;</v>
      </c>
      <c r="B296" t="s">
        <v>718</v>
      </c>
      <c r="C296" t="s">
        <v>711</v>
      </c>
      <c r="D296" t="s">
        <v>651</v>
      </c>
      <c r="E296" t="s">
        <v>360</v>
      </c>
      <c r="F296" t="s">
        <v>651</v>
      </c>
      <c r="G296" s="3" t="s">
        <v>476</v>
      </c>
      <c r="H296" t="s">
        <v>651</v>
      </c>
      <c r="I296" t="s">
        <v>531</v>
      </c>
      <c r="J296" t="s">
        <v>651</v>
      </c>
      <c r="K296" t="s">
        <v>478</v>
      </c>
      <c r="L296" t="s">
        <v>651</v>
      </c>
      <c r="M296" t="s">
        <v>476</v>
      </c>
      <c r="N296" t="s">
        <v>651</v>
      </c>
      <c r="O296" t="s">
        <v>501</v>
      </c>
      <c r="P296" t="s">
        <v>719</v>
      </c>
    </row>
    <row r="297" spans="1:16">
      <c r="A297" t="str">
        <f t="shared" si="4"/>
        <v>&lt;tr&gt;&lt;td&gt;2020-Apr-3&lt;/td&gt;&lt;td&gt;Matchday 30&lt;/td&gt;&lt;td&gt;&lt;/td&gt;&lt;td&gt;Leicester City FC &lt;/td&gt;&lt;td&gt; - &lt;/td&gt;&lt;td&gt;&lt;/td&gt;&lt;td&gt;Manchester City FC&lt;/td&gt;&lt;/tr&gt;</v>
      </c>
      <c r="B297" t="s">
        <v>718</v>
      </c>
      <c r="C297" t="s">
        <v>711</v>
      </c>
      <c r="D297" t="s">
        <v>651</v>
      </c>
      <c r="E297" t="s">
        <v>360</v>
      </c>
      <c r="F297" t="s">
        <v>651</v>
      </c>
      <c r="G297" s="3" t="s">
        <v>476</v>
      </c>
      <c r="H297" t="s">
        <v>651</v>
      </c>
      <c r="I297" t="s">
        <v>532</v>
      </c>
      <c r="J297" t="s">
        <v>651</v>
      </c>
      <c r="K297" t="s">
        <v>478</v>
      </c>
      <c r="L297" t="s">
        <v>651</v>
      </c>
      <c r="M297" t="s">
        <v>476</v>
      </c>
      <c r="N297" t="s">
        <v>651</v>
      </c>
      <c r="O297" t="s">
        <v>512</v>
      </c>
      <c r="P297" t="s">
        <v>719</v>
      </c>
    </row>
    <row r="298" spans="1:16">
      <c r="A298" t="str">
        <f t="shared" si="4"/>
        <v>&lt;tr&gt;&lt;td&gt;2020-Apr-3&lt;/td&gt;&lt;td&gt;Matchday 30&lt;/td&gt;&lt;td&gt;&lt;/td&gt;&lt;td&gt;Manchester United    &lt;/td&gt;&lt;td&gt; - &lt;/td&gt;&lt;td&gt;&lt;/td&gt;&lt;td&gt;Brighton and Hove Albion FC&lt;/td&gt;&lt;/tr&gt;</v>
      </c>
      <c r="B298" t="s">
        <v>718</v>
      </c>
      <c r="C298" t="s">
        <v>711</v>
      </c>
      <c r="D298" t="s">
        <v>651</v>
      </c>
      <c r="E298" t="s">
        <v>360</v>
      </c>
      <c r="F298" t="s">
        <v>651</v>
      </c>
      <c r="G298" s="3" t="s">
        <v>476</v>
      </c>
      <c r="H298" t="s">
        <v>651</v>
      </c>
      <c r="I298" t="s">
        <v>541</v>
      </c>
      <c r="J298" t="s">
        <v>651</v>
      </c>
      <c r="K298" t="s">
        <v>478</v>
      </c>
      <c r="L298" t="s">
        <v>651</v>
      </c>
      <c r="M298" t="s">
        <v>476</v>
      </c>
      <c r="N298" t="s">
        <v>651</v>
      </c>
      <c r="O298" t="s">
        <v>652</v>
      </c>
      <c r="P298" t="s">
        <v>719</v>
      </c>
    </row>
    <row r="299" spans="1:16">
      <c r="A299" t="str">
        <f t="shared" si="4"/>
        <v>&lt;tr&gt;&lt;td&gt;2020-Apr-3&lt;/td&gt;&lt;td&gt;Matchday 30&lt;/td&gt;&lt;td&gt;&lt;/td&gt;&lt;td&gt;Newcastle United FC &lt;/td&gt;&lt;td&gt; - &lt;/td&gt;&lt;td&gt;&lt;/td&gt;&lt;td&gt;Tottenham Hotspur FC&lt;/td&gt;&lt;/tr&gt;</v>
      </c>
      <c r="B299" t="s">
        <v>718</v>
      </c>
      <c r="C299" t="s">
        <v>711</v>
      </c>
      <c r="D299" t="s">
        <v>651</v>
      </c>
      <c r="E299" t="s">
        <v>360</v>
      </c>
      <c r="F299" t="s">
        <v>651</v>
      </c>
      <c r="G299" s="3" t="s">
        <v>476</v>
      </c>
      <c r="H299" t="s">
        <v>651</v>
      </c>
      <c r="I299" t="s">
        <v>533</v>
      </c>
      <c r="J299" t="s">
        <v>651</v>
      </c>
      <c r="K299" t="s">
        <v>478</v>
      </c>
      <c r="L299" t="s">
        <v>651</v>
      </c>
      <c r="M299" t="s">
        <v>476</v>
      </c>
      <c r="N299" t="s">
        <v>651</v>
      </c>
      <c r="O299" t="s">
        <v>499</v>
      </c>
      <c r="P299" t="s">
        <v>719</v>
      </c>
    </row>
    <row r="300" spans="1:16">
      <c r="A300" t="str">
        <f t="shared" si="4"/>
        <v>&lt;tr&gt;&lt;td&gt;2020-Apr-3&lt;/td&gt;&lt;td&gt;Matchday 30&lt;/td&gt;&lt;td&gt;&lt;/td&gt;&lt;td&gt;Southampton FC &lt;/td&gt;&lt;td&gt; - &lt;/td&gt;&lt;td&gt;&lt;/td&gt;&lt;td&gt;Burnley FC&lt;/td&gt;&lt;/tr&gt;</v>
      </c>
      <c r="B300" t="s">
        <v>718</v>
      </c>
      <c r="C300" t="s">
        <v>711</v>
      </c>
      <c r="D300" t="s">
        <v>651</v>
      </c>
      <c r="E300" t="s">
        <v>360</v>
      </c>
      <c r="F300" t="s">
        <v>651</v>
      </c>
      <c r="G300" s="3" t="s">
        <v>476</v>
      </c>
      <c r="H300" t="s">
        <v>651</v>
      </c>
      <c r="I300" t="s">
        <v>542</v>
      </c>
      <c r="J300" t="s">
        <v>651</v>
      </c>
      <c r="K300" t="s">
        <v>478</v>
      </c>
      <c r="L300" t="s">
        <v>651</v>
      </c>
      <c r="M300" t="s">
        <v>476</v>
      </c>
      <c r="N300" t="s">
        <v>651</v>
      </c>
      <c r="O300" t="s">
        <v>511</v>
      </c>
      <c r="P300" t="s">
        <v>719</v>
      </c>
    </row>
    <row r="301" spans="1:16">
      <c r="A301" t="str">
        <f t="shared" si="4"/>
        <v>&lt;tr&gt;&lt;td&gt;2020-Apr-3&lt;/td&gt;&lt;td&gt;Matchday 30&lt;/td&gt;&lt;td&gt;&lt;/td&gt;&lt;td&gt;Wolverhampton Wanderers FC &lt;/td&gt;&lt;td&gt; - &lt;/td&gt;&lt;td&gt;&lt;/td&gt;&lt;td&gt;West Ham United FC&lt;/td&gt;&lt;/tr&gt;</v>
      </c>
      <c r="B301" t="s">
        <v>718</v>
      </c>
      <c r="C301" t="s">
        <v>711</v>
      </c>
      <c r="D301" t="s">
        <v>651</v>
      </c>
      <c r="E301" t="s">
        <v>360</v>
      </c>
      <c r="F301" t="s">
        <v>651</v>
      </c>
      <c r="G301" s="3" t="s">
        <v>476</v>
      </c>
      <c r="H301" t="s">
        <v>651</v>
      </c>
      <c r="I301" t="s">
        <v>544</v>
      </c>
      <c r="J301" t="s">
        <v>651</v>
      </c>
      <c r="K301" t="s">
        <v>478</v>
      </c>
      <c r="L301" t="s">
        <v>651</v>
      </c>
      <c r="M301" t="s">
        <v>476</v>
      </c>
      <c r="N301" t="s">
        <v>651</v>
      </c>
      <c r="O301" t="s">
        <v>493</v>
      </c>
      <c r="P301" t="s">
        <v>719</v>
      </c>
    </row>
    <row r="302" spans="1:16">
      <c r="A302" t="str">
        <f t="shared" si="4"/>
        <v>&lt;tr&gt;&lt;td&gt;2020-Apr-10&lt;/td&gt;&lt;td&gt;Matchday 31&lt;/td&gt;&lt;td&gt;&lt;/td&gt;&lt;td&gt;Brighton and Hove Albion FC &lt;/td&gt;&lt;td&gt; - &lt;/td&gt;&lt;td&gt;&lt;/td&gt;&lt;td&gt;Everton FC&lt;/td&gt;&lt;/tr&gt;</v>
      </c>
      <c r="B302" t="s">
        <v>718</v>
      </c>
      <c r="C302" t="s">
        <v>712</v>
      </c>
      <c r="D302" t="s">
        <v>651</v>
      </c>
      <c r="E302" t="s">
        <v>372</v>
      </c>
      <c r="F302" t="s">
        <v>651</v>
      </c>
      <c r="G302" s="3" t="s">
        <v>476</v>
      </c>
      <c r="H302" t="s">
        <v>651</v>
      </c>
      <c r="I302" t="s">
        <v>654</v>
      </c>
      <c r="J302" t="s">
        <v>651</v>
      </c>
      <c r="K302" t="s">
        <v>478</v>
      </c>
      <c r="L302" t="s">
        <v>651</v>
      </c>
      <c r="M302" t="s">
        <v>476</v>
      </c>
      <c r="N302" t="s">
        <v>651</v>
      </c>
      <c r="O302" t="s">
        <v>500</v>
      </c>
      <c r="P302" t="s">
        <v>719</v>
      </c>
    </row>
    <row r="303" spans="1:16">
      <c r="A303" t="str">
        <f t="shared" si="4"/>
        <v>&lt;tr&gt;&lt;td&gt;2020-Apr-10&lt;/td&gt;&lt;td&gt;Matchday 31&lt;/td&gt;&lt;td&gt;&lt;/td&gt;&lt;td&gt;Burnley FC &lt;/td&gt;&lt;td&gt; - &lt;/td&gt;&lt;td&gt;&lt;/td&gt;&lt;td&gt;Newcastle United FC&lt;/td&gt;&lt;/tr&gt;</v>
      </c>
      <c r="B303" t="s">
        <v>718</v>
      </c>
      <c r="C303" t="s">
        <v>712</v>
      </c>
      <c r="D303" t="s">
        <v>651</v>
      </c>
      <c r="E303" t="s">
        <v>372</v>
      </c>
      <c r="F303" t="s">
        <v>651</v>
      </c>
      <c r="G303" s="3" t="s">
        <v>476</v>
      </c>
      <c r="H303" t="s">
        <v>651</v>
      </c>
      <c r="I303" t="s">
        <v>477</v>
      </c>
      <c r="J303" t="s">
        <v>651</v>
      </c>
      <c r="K303" t="s">
        <v>478</v>
      </c>
      <c r="L303" t="s">
        <v>651</v>
      </c>
      <c r="M303" t="s">
        <v>476</v>
      </c>
      <c r="N303" t="s">
        <v>651</v>
      </c>
      <c r="O303" t="s">
        <v>496</v>
      </c>
      <c r="P303" t="s">
        <v>719</v>
      </c>
    </row>
    <row r="304" spans="1:16">
      <c r="A304" t="str">
        <f t="shared" si="4"/>
        <v>&lt;tr&gt;&lt;td&gt;2020-Apr-10&lt;/td&gt;&lt;td&gt;Matchday 31&lt;/td&gt;&lt;td&gt;&lt;/td&gt;&lt;td&gt;Crystal Palace FC &lt;/td&gt;&lt;td&gt; - &lt;/td&gt;&lt;td&gt;&lt;/td&gt;&lt;td&gt;Chelsea FC&lt;/td&gt;&lt;/tr&gt;</v>
      </c>
      <c r="B304" t="s">
        <v>718</v>
      </c>
      <c r="C304" t="s">
        <v>712</v>
      </c>
      <c r="D304" t="s">
        <v>651</v>
      </c>
      <c r="E304" t="s">
        <v>372</v>
      </c>
      <c r="F304" t="s">
        <v>651</v>
      </c>
      <c r="G304" s="3" t="s">
        <v>476</v>
      </c>
      <c r="H304" t="s">
        <v>651</v>
      </c>
      <c r="I304" t="s">
        <v>529</v>
      </c>
      <c r="J304" t="s">
        <v>651</v>
      </c>
      <c r="K304" t="s">
        <v>478</v>
      </c>
      <c r="L304" t="s">
        <v>651</v>
      </c>
      <c r="M304" t="s">
        <v>476</v>
      </c>
      <c r="N304" t="s">
        <v>651</v>
      </c>
      <c r="O304" t="s">
        <v>504</v>
      </c>
      <c r="P304" t="s">
        <v>719</v>
      </c>
    </row>
    <row r="305" spans="1:16">
      <c r="A305" t="str">
        <f t="shared" si="4"/>
        <v>&lt;tr&gt;&lt;td&gt;2020-Apr-10&lt;/td&gt;&lt;td&gt;Matchday 31&lt;/td&gt;&lt;td&gt;&lt;/td&gt;&lt;td&gt;Fulham FC &lt;/td&gt;&lt;td&gt; - &lt;/td&gt;&lt;td&gt;&lt;/td&gt;&lt;td&gt;Wolverhampton Wanderers FC&lt;/td&gt;&lt;/tr&gt;</v>
      </c>
      <c r="B305" t="s">
        <v>718</v>
      </c>
      <c r="C305" t="s">
        <v>712</v>
      </c>
      <c r="D305" t="s">
        <v>651</v>
      </c>
      <c r="E305" t="s">
        <v>372</v>
      </c>
      <c r="F305" t="s">
        <v>651</v>
      </c>
      <c r="G305" s="3" t="s">
        <v>476</v>
      </c>
      <c r="H305" t="s">
        <v>651</v>
      </c>
      <c r="I305" t="s">
        <v>539</v>
      </c>
      <c r="J305" t="s">
        <v>651</v>
      </c>
      <c r="K305" t="s">
        <v>478</v>
      </c>
      <c r="L305" t="s">
        <v>651</v>
      </c>
      <c r="M305" t="s">
        <v>476</v>
      </c>
      <c r="N305" t="s">
        <v>651</v>
      </c>
      <c r="O305" t="s">
        <v>502</v>
      </c>
      <c r="P305" t="s">
        <v>719</v>
      </c>
    </row>
    <row r="306" spans="1:16">
      <c r="A306" t="str">
        <f t="shared" si="4"/>
        <v>&lt;tr&gt;&lt;td&gt;2020-Apr-10&lt;/td&gt;&lt;td&gt;Matchday 31&lt;/td&gt;&lt;td&gt;&lt;/td&gt;&lt;td&gt;Liverpool FC &lt;/td&gt;&lt;td&gt; - &lt;/td&gt;&lt;td&gt;&lt;/td&gt;&lt;td&gt;Aston Villa FC&lt;/td&gt;&lt;/tr&gt;</v>
      </c>
      <c r="B306" t="s">
        <v>718</v>
      </c>
      <c r="C306" t="s">
        <v>712</v>
      </c>
      <c r="D306" t="s">
        <v>651</v>
      </c>
      <c r="E306" t="s">
        <v>372</v>
      </c>
      <c r="F306" t="s">
        <v>651</v>
      </c>
      <c r="G306" s="3" t="s">
        <v>476</v>
      </c>
      <c r="H306" t="s">
        <v>651</v>
      </c>
      <c r="I306" t="s">
        <v>540</v>
      </c>
      <c r="J306" t="s">
        <v>651</v>
      </c>
      <c r="K306" t="s">
        <v>478</v>
      </c>
      <c r="L306" t="s">
        <v>651</v>
      </c>
      <c r="M306" t="s">
        <v>476</v>
      </c>
      <c r="N306" t="s">
        <v>651</v>
      </c>
      <c r="O306" t="s">
        <v>481</v>
      </c>
      <c r="P306" t="s">
        <v>719</v>
      </c>
    </row>
    <row r="307" spans="1:16">
      <c r="A307" t="str">
        <f t="shared" si="4"/>
        <v>&lt;tr&gt;&lt;td&gt;2020-Apr-10&lt;/td&gt;&lt;td&gt;Matchday 31&lt;/td&gt;&lt;td&gt;&lt;/td&gt;&lt;td&gt;Manchester City FC &lt;/td&gt;&lt;td&gt; - &lt;/td&gt;&lt;td&gt;&lt;/td&gt;&lt;td&gt;Leeds United FC&lt;/td&gt;&lt;/tr&gt;</v>
      </c>
      <c r="B307" t="s">
        <v>718</v>
      </c>
      <c r="C307" t="s">
        <v>712</v>
      </c>
      <c r="D307" t="s">
        <v>651</v>
      </c>
      <c r="E307" t="s">
        <v>372</v>
      </c>
      <c r="F307" t="s">
        <v>651</v>
      </c>
      <c r="G307" s="3" t="s">
        <v>476</v>
      </c>
      <c r="H307" t="s">
        <v>651</v>
      </c>
      <c r="I307" t="s">
        <v>480</v>
      </c>
      <c r="J307" t="s">
        <v>651</v>
      </c>
      <c r="K307" t="s">
        <v>478</v>
      </c>
      <c r="L307" t="s">
        <v>651</v>
      </c>
      <c r="M307" t="s">
        <v>476</v>
      </c>
      <c r="N307" t="s">
        <v>651</v>
      </c>
      <c r="O307" t="s">
        <v>492</v>
      </c>
      <c r="P307" t="s">
        <v>719</v>
      </c>
    </row>
    <row r="308" spans="1:16">
      <c r="A308" t="str">
        <f t="shared" si="4"/>
        <v>&lt;tr&gt;&lt;td&gt;2020-Apr-10&lt;/td&gt;&lt;td&gt;Matchday 31&lt;/td&gt;&lt;td&gt;&lt;/td&gt;&lt;td&gt;Sheffield United FC &lt;/td&gt;&lt;td&gt; - &lt;/td&gt;&lt;td&gt;&lt;/td&gt;&lt;td&gt;Arsenal FC&lt;/td&gt;&lt;/tr&gt;</v>
      </c>
      <c r="B308" t="s">
        <v>718</v>
      </c>
      <c r="C308" t="s">
        <v>712</v>
      </c>
      <c r="D308" t="s">
        <v>651</v>
      </c>
      <c r="E308" t="s">
        <v>372</v>
      </c>
      <c r="F308" t="s">
        <v>651</v>
      </c>
      <c r="G308" s="3" t="s">
        <v>476</v>
      </c>
      <c r="H308" t="s">
        <v>651</v>
      </c>
      <c r="I308" t="s">
        <v>534</v>
      </c>
      <c r="J308" t="s">
        <v>651</v>
      </c>
      <c r="K308" t="s">
        <v>478</v>
      </c>
      <c r="L308" t="s">
        <v>651</v>
      </c>
      <c r="M308" t="s">
        <v>476</v>
      </c>
      <c r="N308" t="s">
        <v>651</v>
      </c>
      <c r="O308" t="s">
        <v>485</v>
      </c>
      <c r="P308" t="s">
        <v>719</v>
      </c>
    </row>
    <row r="309" spans="1:16">
      <c r="A309" t="str">
        <f t="shared" si="4"/>
        <v>&lt;tr&gt;&lt;td&gt;2020-Apr-10&lt;/td&gt;&lt;td&gt;Matchday 31&lt;/td&gt;&lt;td&gt;&lt;/td&gt;&lt;td&gt;Tottenham Hotspur FC &lt;/td&gt;&lt;td&gt; - &lt;/td&gt;&lt;td&gt;&lt;/td&gt;&lt;td&gt;Manchester United&lt;/td&gt;&lt;/tr&gt;</v>
      </c>
      <c r="B309" t="s">
        <v>718</v>
      </c>
      <c r="C309" t="s">
        <v>712</v>
      </c>
      <c r="D309" t="s">
        <v>651</v>
      </c>
      <c r="E309" t="s">
        <v>372</v>
      </c>
      <c r="F309" t="s">
        <v>651</v>
      </c>
      <c r="G309" s="3" t="s">
        <v>476</v>
      </c>
      <c r="H309" t="s">
        <v>651</v>
      </c>
      <c r="I309" t="s">
        <v>535</v>
      </c>
      <c r="J309" t="s">
        <v>651</v>
      </c>
      <c r="K309" t="s">
        <v>478</v>
      </c>
      <c r="L309" t="s">
        <v>651</v>
      </c>
      <c r="M309" t="s">
        <v>476</v>
      </c>
      <c r="N309" t="s">
        <v>651</v>
      </c>
      <c r="O309" t="s">
        <v>479</v>
      </c>
      <c r="P309" t="s">
        <v>719</v>
      </c>
    </row>
    <row r="310" spans="1:16">
      <c r="A310" t="str">
        <f t="shared" si="4"/>
        <v>&lt;tr&gt;&lt;td&gt;2020-Apr-10&lt;/td&gt;&lt;td&gt;Matchday 31&lt;/td&gt;&lt;td&gt;&lt;/td&gt;&lt;td&gt;West Bromwich Albion FC &lt;/td&gt;&lt;td&gt; - &lt;/td&gt;&lt;td&gt;&lt;/td&gt;&lt;td&gt;Southampton FC&lt;/td&gt;&lt;/tr&gt;</v>
      </c>
      <c r="B310" t="s">
        <v>718</v>
      </c>
      <c r="C310" t="s">
        <v>712</v>
      </c>
      <c r="D310" t="s">
        <v>651</v>
      </c>
      <c r="E310" t="s">
        <v>372</v>
      </c>
      <c r="F310" t="s">
        <v>651</v>
      </c>
      <c r="G310" s="3" t="s">
        <v>476</v>
      </c>
      <c r="H310" t="s">
        <v>651</v>
      </c>
      <c r="I310" t="s">
        <v>536</v>
      </c>
      <c r="J310" t="s">
        <v>651</v>
      </c>
      <c r="K310" t="s">
        <v>478</v>
      </c>
      <c r="L310" t="s">
        <v>651</v>
      </c>
      <c r="M310" t="s">
        <v>476</v>
      </c>
      <c r="N310" t="s">
        <v>651</v>
      </c>
      <c r="O310" t="s">
        <v>488</v>
      </c>
      <c r="P310" t="s">
        <v>719</v>
      </c>
    </row>
    <row r="311" spans="1:16">
      <c r="A311" t="str">
        <f t="shared" si="4"/>
        <v>&lt;tr&gt;&lt;td&gt;2020-Apr-10&lt;/td&gt;&lt;td&gt;Matchday 31&lt;/td&gt;&lt;td&gt;&lt;/td&gt;&lt;td&gt;West Ham United FC &lt;/td&gt;&lt;td&gt; - &lt;/td&gt;&lt;td&gt;&lt;/td&gt;&lt;td&gt;Leicester City FC&lt;/td&gt;&lt;/tr&gt;</v>
      </c>
      <c r="B311" t="s">
        <v>718</v>
      </c>
      <c r="C311" t="s">
        <v>712</v>
      </c>
      <c r="D311" t="s">
        <v>651</v>
      </c>
      <c r="E311" t="s">
        <v>372</v>
      </c>
      <c r="F311" t="s">
        <v>651</v>
      </c>
      <c r="G311" s="3" t="s">
        <v>476</v>
      </c>
      <c r="H311" t="s">
        <v>651</v>
      </c>
      <c r="I311" t="s">
        <v>543</v>
      </c>
      <c r="J311" t="s">
        <v>651</v>
      </c>
      <c r="K311" t="s">
        <v>478</v>
      </c>
      <c r="L311" t="s">
        <v>651</v>
      </c>
      <c r="M311" t="s">
        <v>476</v>
      </c>
      <c r="N311" t="s">
        <v>651</v>
      </c>
      <c r="O311" t="s">
        <v>498</v>
      </c>
      <c r="P311" t="s">
        <v>719</v>
      </c>
    </row>
    <row r="312" spans="1:16">
      <c r="A312" t="str">
        <f t="shared" si="4"/>
        <v>&lt;tr&gt;&lt;td&gt;2020-Apr-17&lt;/td&gt;&lt;td&gt;Matchday 32&lt;/td&gt;&lt;td&gt;&lt;/td&gt;&lt;td&gt;Arsenal FC &lt;/td&gt;&lt;td&gt; - &lt;/td&gt;&lt;td&gt;&lt;/td&gt;&lt;td&gt;Fulham FC&lt;/td&gt;&lt;/tr&gt;</v>
      </c>
      <c r="B312" t="s">
        <v>718</v>
      </c>
      <c r="C312" t="s">
        <v>713</v>
      </c>
      <c r="D312" t="s">
        <v>651</v>
      </c>
      <c r="E312" t="s">
        <v>384</v>
      </c>
      <c r="F312" t="s">
        <v>651</v>
      </c>
      <c r="G312" s="3" t="s">
        <v>476</v>
      </c>
      <c r="H312" t="s">
        <v>651</v>
      </c>
      <c r="I312" t="s">
        <v>537</v>
      </c>
      <c r="J312" t="s">
        <v>651</v>
      </c>
      <c r="K312" t="s">
        <v>478</v>
      </c>
      <c r="L312" t="s">
        <v>651</v>
      </c>
      <c r="M312" t="s">
        <v>476</v>
      </c>
      <c r="N312" t="s">
        <v>651</v>
      </c>
      <c r="O312" t="s">
        <v>482</v>
      </c>
      <c r="P312" t="s">
        <v>719</v>
      </c>
    </row>
    <row r="313" spans="1:16">
      <c r="A313" t="str">
        <f t="shared" si="4"/>
        <v>&lt;tr&gt;&lt;td&gt;2020-Apr-17&lt;/td&gt;&lt;td&gt;Matchday 32&lt;/td&gt;&lt;td&gt;&lt;/td&gt;&lt;td&gt;Aston Villa FC &lt;/td&gt;&lt;td&gt; - &lt;/td&gt;&lt;td&gt;&lt;/td&gt;&lt;td&gt;Manchester City FC&lt;/td&gt;&lt;/tr&gt;</v>
      </c>
      <c r="B313" t="s">
        <v>718</v>
      </c>
      <c r="C313" t="s">
        <v>713</v>
      </c>
      <c r="D313" t="s">
        <v>651</v>
      </c>
      <c r="E313" t="s">
        <v>384</v>
      </c>
      <c r="F313" t="s">
        <v>651</v>
      </c>
      <c r="G313" s="3" t="s">
        <v>476</v>
      </c>
      <c r="H313" t="s">
        <v>651</v>
      </c>
      <c r="I313" t="s">
        <v>538</v>
      </c>
      <c r="J313" t="s">
        <v>651</v>
      </c>
      <c r="K313" t="s">
        <v>478</v>
      </c>
      <c r="L313" t="s">
        <v>651</v>
      </c>
      <c r="M313" t="s">
        <v>476</v>
      </c>
      <c r="N313" t="s">
        <v>651</v>
      </c>
      <c r="O313" t="s">
        <v>512</v>
      </c>
      <c r="P313" t="s">
        <v>719</v>
      </c>
    </row>
    <row r="314" spans="1:16">
      <c r="A314" t="str">
        <f t="shared" si="4"/>
        <v>&lt;tr&gt;&lt;td&gt;2020-Apr-17&lt;/td&gt;&lt;td&gt;Matchday 32&lt;/td&gt;&lt;td&gt;&lt;/td&gt;&lt;td&gt;Chelsea FC &lt;/td&gt;&lt;td&gt; - &lt;/td&gt;&lt;td&gt;&lt;/td&gt;&lt;td&gt;Brighton and Hove Albion FC&lt;/td&gt;&lt;/tr&gt;</v>
      </c>
      <c r="B314" t="s">
        <v>718</v>
      </c>
      <c r="C314" t="s">
        <v>713</v>
      </c>
      <c r="D314" t="s">
        <v>651</v>
      </c>
      <c r="E314" t="s">
        <v>384</v>
      </c>
      <c r="F314" t="s">
        <v>651</v>
      </c>
      <c r="G314" s="3" t="s">
        <v>476</v>
      </c>
      <c r="H314" t="s">
        <v>651</v>
      </c>
      <c r="I314" t="s">
        <v>528</v>
      </c>
      <c r="J314" t="s">
        <v>651</v>
      </c>
      <c r="K314" t="s">
        <v>478</v>
      </c>
      <c r="L314" t="s">
        <v>651</v>
      </c>
      <c r="M314" t="s">
        <v>476</v>
      </c>
      <c r="N314" t="s">
        <v>651</v>
      </c>
      <c r="O314" t="s">
        <v>652</v>
      </c>
      <c r="P314" t="s">
        <v>719</v>
      </c>
    </row>
    <row r="315" spans="1:16">
      <c r="A315" t="str">
        <f t="shared" si="4"/>
        <v>&lt;tr&gt;&lt;td&gt;2020-Apr-17&lt;/td&gt;&lt;td&gt;Matchday 32&lt;/td&gt;&lt;td&gt;&lt;/td&gt;&lt;td&gt;Everton FC &lt;/td&gt;&lt;td&gt; - &lt;/td&gt;&lt;td&gt;&lt;/td&gt;&lt;td&gt;Tottenham Hotspur FC&lt;/td&gt;&lt;/tr&gt;</v>
      </c>
      <c r="B315" t="s">
        <v>718</v>
      </c>
      <c r="C315" t="s">
        <v>713</v>
      </c>
      <c r="D315" t="s">
        <v>651</v>
      </c>
      <c r="E315" t="s">
        <v>384</v>
      </c>
      <c r="F315" t="s">
        <v>651</v>
      </c>
      <c r="G315" s="3" t="s">
        <v>476</v>
      </c>
      <c r="H315" t="s">
        <v>651</v>
      </c>
      <c r="I315" t="s">
        <v>530</v>
      </c>
      <c r="J315" t="s">
        <v>651</v>
      </c>
      <c r="K315" t="s">
        <v>478</v>
      </c>
      <c r="L315" t="s">
        <v>651</v>
      </c>
      <c r="M315" t="s">
        <v>476</v>
      </c>
      <c r="N315" t="s">
        <v>651</v>
      </c>
      <c r="O315" t="s">
        <v>499</v>
      </c>
      <c r="P315" t="s">
        <v>719</v>
      </c>
    </row>
    <row r="316" spans="1:16">
      <c r="A316" t="str">
        <f t="shared" si="4"/>
        <v>&lt;tr&gt;&lt;td&gt;2020-Apr-17&lt;/td&gt;&lt;td&gt;Matchday 32&lt;/td&gt;&lt;td&gt;&lt;/td&gt;&lt;td&gt;Leeds United FC &lt;/td&gt;&lt;td&gt; - &lt;/td&gt;&lt;td&gt;&lt;/td&gt;&lt;td&gt;Liverpool FC&lt;/td&gt;&lt;/tr&gt;</v>
      </c>
      <c r="B316" t="s">
        <v>718</v>
      </c>
      <c r="C316" t="s">
        <v>713</v>
      </c>
      <c r="D316" t="s">
        <v>651</v>
      </c>
      <c r="E316" t="s">
        <v>384</v>
      </c>
      <c r="F316" t="s">
        <v>651</v>
      </c>
      <c r="G316" s="3" t="s">
        <v>476</v>
      </c>
      <c r="H316" t="s">
        <v>651</v>
      </c>
      <c r="I316" t="s">
        <v>531</v>
      </c>
      <c r="J316" t="s">
        <v>651</v>
      </c>
      <c r="K316" t="s">
        <v>478</v>
      </c>
      <c r="L316" t="s">
        <v>651</v>
      </c>
      <c r="M316" t="s">
        <v>476</v>
      </c>
      <c r="N316" t="s">
        <v>651</v>
      </c>
      <c r="O316" t="s">
        <v>489</v>
      </c>
      <c r="P316" t="s">
        <v>719</v>
      </c>
    </row>
    <row r="317" spans="1:16">
      <c r="A317" t="str">
        <f t="shared" si="4"/>
        <v>&lt;tr&gt;&lt;td&gt;2020-Apr-17&lt;/td&gt;&lt;td&gt;Matchday 32&lt;/td&gt;&lt;td&gt;&lt;/td&gt;&lt;td&gt;Leicester City FC &lt;/td&gt;&lt;td&gt; - &lt;/td&gt;&lt;td&gt;&lt;/td&gt;&lt;td&gt;West Bromwich Albion FC&lt;/td&gt;&lt;/tr&gt;</v>
      </c>
      <c r="B317" t="s">
        <v>718</v>
      </c>
      <c r="C317" t="s">
        <v>713</v>
      </c>
      <c r="D317" t="s">
        <v>651</v>
      </c>
      <c r="E317" t="s">
        <v>384</v>
      </c>
      <c r="F317" t="s">
        <v>651</v>
      </c>
      <c r="G317" s="3" t="s">
        <v>476</v>
      </c>
      <c r="H317" t="s">
        <v>651</v>
      </c>
      <c r="I317" t="s">
        <v>532</v>
      </c>
      <c r="J317" t="s">
        <v>651</v>
      </c>
      <c r="K317" t="s">
        <v>478</v>
      </c>
      <c r="L317" t="s">
        <v>651</v>
      </c>
      <c r="M317" t="s">
        <v>476</v>
      </c>
      <c r="N317" t="s">
        <v>651</v>
      </c>
      <c r="O317" t="s">
        <v>497</v>
      </c>
      <c r="P317" t="s">
        <v>719</v>
      </c>
    </row>
    <row r="318" spans="1:16">
      <c r="A318" t="str">
        <f t="shared" si="4"/>
        <v>&lt;tr&gt;&lt;td&gt;2020-Apr-17&lt;/td&gt;&lt;td&gt;Matchday 32&lt;/td&gt;&lt;td&gt;&lt;/td&gt;&lt;td&gt;Manchester United    &lt;/td&gt;&lt;td&gt; - &lt;/td&gt;&lt;td&gt;&lt;/td&gt;&lt;td&gt;Burnley FC&lt;/td&gt;&lt;/tr&gt;</v>
      </c>
      <c r="B318" t="s">
        <v>718</v>
      </c>
      <c r="C318" t="s">
        <v>713</v>
      </c>
      <c r="D318" t="s">
        <v>651</v>
      </c>
      <c r="E318" t="s">
        <v>384</v>
      </c>
      <c r="F318" t="s">
        <v>651</v>
      </c>
      <c r="G318" s="3" t="s">
        <v>476</v>
      </c>
      <c r="H318" t="s">
        <v>651</v>
      </c>
      <c r="I318" t="s">
        <v>541</v>
      </c>
      <c r="J318" t="s">
        <v>651</v>
      </c>
      <c r="K318" t="s">
        <v>478</v>
      </c>
      <c r="L318" t="s">
        <v>651</v>
      </c>
      <c r="M318" t="s">
        <v>476</v>
      </c>
      <c r="N318" t="s">
        <v>651</v>
      </c>
      <c r="O318" t="s">
        <v>511</v>
      </c>
      <c r="P318" t="s">
        <v>719</v>
      </c>
    </row>
    <row r="319" spans="1:16">
      <c r="A319" t="str">
        <f t="shared" si="4"/>
        <v>&lt;tr&gt;&lt;td&gt;2020-Apr-17&lt;/td&gt;&lt;td&gt;Matchday 32&lt;/td&gt;&lt;td&gt;&lt;/td&gt;&lt;td&gt;Newcastle United FC &lt;/td&gt;&lt;td&gt; - &lt;/td&gt;&lt;td&gt;&lt;/td&gt;&lt;td&gt;West Ham United FC&lt;/td&gt;&lt;/tr&gt;</v>
      </c>
      <c r="B319" t="s">
        <v>718</v>
      </c>
      <c r="C319" t="s">
        <v>713</v>
      </c>
      <c r="D319" t="s">
        <v>651</v>
      </c>
      <c r="E319" t="s">
        <v>384</v>
      </c>
      <c r="F319" t="s">
        <v>651</v>
      </c>
      <c r="G319" s="3" t="s">
        <v>476</v>
      </c>
      <c r="H319" t="s">
        <v>651</v>
      </c>
      <c r="I319" t="s">
        <v>533</v>
      </c>
      <c r="J319" t="s">
        <v>651</v>
      </c>
      <c r="K319" t="s">
        <v>478</v>
      </c>
      <c r="L319" t="s">
        <v>651</v>
      </c>
      <c r="M319" t="s">
        <v>476</v>
      </c>
      <c r="N319" t="s">
        <v>651</v>
      </c>
      <c r="O319" t="s">
        <v>493</v>
      </c>
      <c r="P319" t="s">
        <v>719</v>
      </c>
    </row>
    <row r="320" spans="1:16">
      <c r="A320" t="str">
        <f t="shared" si="4"/>
        <v>&lt;tr&gt;&lt;td&gt;2020-Apr-17&lt;/td&gt;&lt;td&gt;Matchday 32&lt;/td&gt;&lt;td&gt;&lt;/td&gt;&lt;td&gt;Southampton FC &lt;/td&gt;&lt;td&gt; - &lt;/td&gt;&lt;td&gt;&lt;/td&gt;&lt;td&gt;Crystal Palace FC&lt;/td&gt;&lt;/tr&gt;</v>
      </c>
      <c r="B320" t="s">
        <v>718</v>
      </c>
      <c r="C320" t="s">
        <v>713</v>
      </c>
      <c r="D320" t="s">
        <v>651</v>
      </c>
      <c r="E320" t="s">
        <v>384</v>
      </c>
      <c r="F320" t="s">
        <v>651</v>
      </c>
      <c r="G320" s="3" t="s">
        <v>476</v>
      </c>
      <c r="H320" t="s">
        <v>651</v>
      </c>
      <c r="I320" t="s">
        <v>542</v>
      </c>
      <c r="J320" t="s">
        <v>651</v>
      </c>
      <c r="K320" t="s">
        <v>478</v>
      </c>
      <c r="L320" t="s">
        <v>651</v>
      </c>
      <c r="M320" t="s">
        <v>476</v>
      </c>
      <c r="N320" t="s">
        <v>651</v>
      </c>
      <c r="O320" t="s">
        <v>486</v>
      </c>
      <c r="P320" t="s">
        <v>719</v>
      </c>
    </row>
    <row r="321" spans="1:16">
      <c r="A321" t="str">
        <f t="shared" si="4"/>
        <v>&lt;tr&gt;&lt;td&gt;2020-Apr-17&lt;/td&gt;&lt;td&gt;Matchday 32&lt;/td&gt;&lt;td&gt;&lt;/td&gt;&lt;td&gt;Wolverhampton Wanderers FC &lt;/td&gt;&lt;td&gt; - &lt;/td&gt;&lt;td&gt;&lt;/td&gt;&lt;td&gt;Sheffield United FC&lt;/td&gt;&lt;/tr&gt;</v>
      </c>
      <c r="B321" t="s">
        <v>718</v>
      </c>
      <c r="C321" t="s">
        <v>713</v>
      </c>
      <c r="D321" t="s">
        <v>651</v>
      </c>
      <c r="E321" t="s">
        <v>384</v>
      </c>
      <c r="F321" t="s">
        <v>651</v>
      </c>
      <c r="G321" s="3" t="s">
        <v>476</v>
      </c>
      <c r="H321" t="s">
        <v>651</v>
      </c>
      <c r="I321" t="s">
        <v>544</v>
      </c>
      <c r="J321" t="s">
        <v>651</v>
      </c>
      <c r="K321" t="s">
        <v>478</v>
      </c>
      <c r="L321" t="s">
        <v>651</v>
      </c>
      <c r="M321" t="s">
        <v>476</v>
      </c>
      <c r="N321" t="s">
        <v>651</v>
      </c>
      <c r="O321" t="s">
        <v>501</v>
      </c>
      <c r="P321" t="s">
        <v>719</v>
      </c>
    </row>
    <row r="322" spans="1:16">
      <c r="A322" t="str">
        <f t="shared" si="4"/>
        <v>&lt;tr&gt;&lt;td&gt;2020-Apr-24&lt;/td&gt;&lt;td&gt;Matchday 33&lt;/td&gt;&lt;td&gt;&lt;/td&gt;&lt;td&gt;Arsenal FC &lt;/td&gt;&lt;td&gt; - &lt;/td&gt;&lt;td&gt;&lt;/td&gt;&lt;td&gt;Everton FC&lt;/td&gt;&lt;/tr&gt;</v>
      </c>
      <c r="B322" t="s">
        <v>718</v>
      </c>
      <c r="C322" t="s">
        <v>714</v>
      </c>
      <c r="D322" t="s">
        <v>651</v>
      </c>
      <c r="E322" t="s">
        <v>396</v>
      </c>
      <c r="F322" t="s">
        <v>651</v>
      </c>
      <c r="G322" s="3" t="s">
        <v>476</v>
      </c>
      <c r="H322" t="s">
        <v>651</v>
      </c>
      <c r="I322" t="s">
        <v>537</v>
      </c>
      <c r="J322" t="s">
        <v>651</v>
      </c>
      <c r="K322" t="s">
        <v>478</v>
      </c>
      <c r="L322" t="s">
        <v>651</v>
      </c>
      <c r="M322" t="s">
        <v>476</v>
      </c>
      <c r="N322" t="s">
        <v>651</v>
      </c>
      <c r="O322" t="s">
        <v>500</v>
      </c>
      <c r="P322" t="s">
        <v>719</v>
      </c>
    </row>
    <row r="323" spans="1:16">
      <c r="A323" t="str">
        <f t="shared" ref="A323:A381" si="5">CONCATENATE(B323,C323,D323,E323,F323,G323,H323,I323,J323,K323,L323,M323,N323,O323,P323)</f>
        <v>&lt;tr&gt;&lt;td&gt;2020-Apr-24&lt;/td&gt;&lt;td&gt;Matchday 33&lt;/td&gt;&lt;td&gt;&lt;/td&gt;&lt;td&gt;Aston Villa FC &lt;/td&gt;&lt;td&gt; - &lt;/td&gt;&lt;td&gt;&lt;/td&gt;&lt;td&gt;West Bromwich Albion FC&lt;/td&gt;&lt;/tr&gt;</v>
      </c>
      <c r="B323" t="s">
        <v>718</v>
      </c>
      <c r="C323" t="s">
        <v>714</v>
      </c>
      <c r="D323" t="s">
        <v>651</v>
      </c>
      <c r="E323" t="s">
        <v>396</v>
      </c>
      <c r="F323" t="s">
        <v>651</v>
      </c>
      <c r="G323" s="3" t="s">
        <v>476</v>
      </c>
      <c r="H323" t="s">
        <v>651</v>
      </c>
      <c r="I323" t="s">
        <v>538</v>
      </c>
      <c r="J323" t="s">
        <v>651</v>
      </c>
      <c r="K323" t="s">
        <v>478</v>
      </c>
      <c r="L323" t="s">
        <v>651</v>
      </c>
      <c r="M323" t="s">
        <v>476</v>
      </c>
      <c r="N323" t="s">
        <v>651</v>
      </c>
      <c r="O323" t="s">
        <v>497</v>
      </c>
      <c r="P323" t="s">
        <v>719</v>
      </c>
    </row>
    <row r="324" spans="1:16">
      <c r="A324" t="str">
        <f t="shared" si="5"/>
        <v>&lt;tr&gt;&lt;td&gt;2020-Apr-24&lt;/td&gt;&lt;td&gt;Matchday 33&lt;/td&gt;&lt;td&gt;&lt;/td&gt;&lt;td&gt;Fulham FC &lt;/td&gt;&lt;td&gt; - &lt;/td&gt;&lt;td&gt;&lt;/td&gt;&lt;td&gt;Tottenham Hotspur FC&lt;/td&gt;&lt;/tr&gt;</v>
      </c>
      <c r="B324" t="s">
        <v>718</v>
      </c>
      <c r="C324" t="s">
        <v>714</v>
      </c>
      <c r="D324" t="s">
        <v>651</v>
      </c>
      <c r="E324" t="s">
        <v>396</v>
      </c>
      <c r="F324" t="s">
        <v>651</v>
      </c>
      <c r="G324" s="3" t="s">
        <v>476</v>
      </c>
      <c r="H324" t="s">
        <v>651</v>
      </c>
      <c r="I324" t="s">
        <v>539</v>
      </c>
      <c r="J324" t="s">
        <v>651</v>
      </c>
      <c r="K324" t="s">
        <v>478</v>
      </c>
      <c r="L324" t="s">
        <v>651</v>
      </c>
      <c r="M324" t="s">
        <v>476</v>
      </c>
      <c r="N324" t="s">
        <v>651</v>
      </c>
      <c r="O324" t="s">
        <v>499</v>
      </c>
      <c r="P324" t="s">
        <v>719</v>
      </c>
    </row>
    <row r="325" spans="1:16">
      <c r="A325" t="str">
        <f t="shared" si="5"/>
        <v>&lt;tr&gt;&lt;td&gt;2020-Apr-24&lt;/td&gt;&lt;td&gt;Matchday 33&lt;/td&gt;&lt;td&gt;&lt;/td&gt;&lt;td&gt;Leeds United FC &lt;/td&gt;&lt;td&gt; - &lt;/td&gt;&lt;td&gt;&lt;/td&gt;&lt;td&gt;Manchester United&lt;/td&gt;&lt;/tr&gt;</v>
      </c>
      <c r="B325" t="s">
        <v>718</v>
      </c>
      <c r="C325" t="s">
        <v>714</v>
      </c>
      <c r="D325" t="s">
        <v>651</v>
      </c>
      <c r="E325" t="s">
        <v>396</v>
      </c>
      <c r="F325" t="s">
        <v>651</v>
      </c>
      <c r="G325" s="3" t="s">
        <v>476</v>
      </c>
      <c r="H325" t="s">
        <v>651</v>
      </c>
      <c r="I325" t="s">
        <v>531</v>
      </c>
      <c r="J325" t="s">
        <v>651</v>
      </c>
      <c r="K325" t="s">
        <v>478</v>
      </c>
      <c r="L325" t="s">
        <v>651</v>
      </c>
      <c r="M325" t="s">
        <v>476</v>
      </c>
      <c r="N325" t="s">
        <v>651</v>
      </c>
      <c r="O325" t="s">
        <v>479</v>
      </c>
      <c r="P325" t="s">
        <v>719</v>
      </c>
    </row>
    <row r="326" spans="1:16">
      <c r="A326" t="str">
        <f t="shared" si="5"/>
        <v>&lt;tr&gt;&lt;td&gt;2020-Apr-24&lt;/td&gt;&lt;td&gt;Matchday 33&lt;/td&gt;&lt;td&gt;&lt;/td&gt;&lt;td&gt;Leicester City FC &lt;/td&gt;&lt;td&gt; - &lt;/td&gt;&lt;td&gt;&lt;/td&gt;&lt;td&gt;Crystal Palace FC&lt;/td&gt;&lt;/tr&gt;</v>
      </c>
      <c r="B326" t="s">
        <v>718</v>
      </c>
      <c r="C326" t="s">
        <v>714</v>
      </c>
      <c r="D326" t="s">
        <v>651</v>
      </c>
      <c r="E326" t="s">
        <v>396</v>
      </c>
      <c r="F326" t="s">
        <v>651</v>
      </c>
      <c r="G326" s="3" t="s">
        <v>476</v>
      </c>
      <c r="H326" t="s">
        <v>651</v>
      </c>
      <c r="I326" t="s">
        <v>532</v>
      </c>
      <c r="J326" t="s">
        <v>651</v>
      </c>
      <c r="K326" t="s">
        <v>478</v>
      </c>
      <c r="L326" t="s">
        <v>651</v>
      </c>
      <c r="M326" t="s">
        <v>476</v>
      </c>
      <c r="N326" t="s">
        <v>651</v>
      </c>
      <c r="O326" t="s">
        <v>486</v>
      </c>
      <c r="P326" t="s">
        <v>719</v>
      </c>
    </row>
    <row r="327" spans="1:16">
      <c r="A327" t="str">
        <f t="shared" si="5"/>
        <v>&lt;tr&gt;&lt;td&gt;2020-Apr-24&lt;/td&gt;&lt;td&gt;Matchday 33&lt;/td&gt;&lt;td&gt;&lt;/td&gt;&lt;td&gt;Liverpool FC &lt;/td&gt;&lt;td&gt; - &lt;/td&gt;&lt;td&gt;&lt;/td&gt;&lt;td&gt;Newcastle United FC&lt;/td&gt;&lt;/tr&gt;</v>
      </c>
      <c r="B327" t="s">
        <v>718</v>
      </c>
      <c r="C327" t="s">
        <v>714</v>
      </c>
      <c r="D327" t="s">
        <v>651</v>
      </c>
      <c r="E327" t="s">
        <v>396</v>
      </c>
      <c r="F327" t="s">
        <v>651</v>
      </c>
      <c r="G327" s="3" t="s">
        <v>476</v>
      </c>
      <c r="H327" t="s">
        <v>651</v>
      </c>
      <c r="I327" t="s">
        <v>540</v>
      </c>
      <c r="J327" t="s">
        <v>651</v>
      </c>
      <c r="K327" t="s">
        <v>478</v>
      </c>
      <c r="L327" t="s">
        <v>651</v>
      </c>
      <c r="M327" t="s">
        <v>476</v>
      </c>
      <c r="N327" t="s">
        <v>651</v>
      </c>
      <c r="O327" t="s">
        <v>496</v>
      </c>
      <c r="P327" t="s">
        <v>719</v>
      </c>
    </row>
    <row r="328" spans="1:16">
      <c r="A328" t="str">
        <f t="shared" si="5"/>
        <v>&lt;tr&gt;&lt;td&gt;2020-Apr-24&lt;/td&gt;&lt;td&gt;Matchday 33&lt;/td&gt;&lt;td&gt;&lt;/td&gt;&lt;td&gt;Manchester City FC &lt;/td&gt;&lt;td&gt; - &lt;/td&gt;&lt;td&gt;&lt;/td&gt;&lt;td&gt;Southampton FC&lt;/td&gt;&lt;/tr&gt;</v>
      </c>
      <c r="B328" t="s">
        <v>718</v>
      </c>
      <c r="C328" t="s">
        <v>714</v>
      </c>
      <c r="D328" t="s">
        <v>651</v>
      </c>
      <c r="E328" t="s">
        <v>396</v>
      </c>
      <c r="F328" t="s">
        <v>651</v>
      </c>
      <c r="G328" s="3" t="s">
        <v>476</v>
      </c>
      <c r="H328" t="s">
        <v>651</v>
      </c>
      <c r="I328" t="s">
        <v>480</v>
      </c>
      <c r="J328" t="s">
        <v>651</v>
      </c>
      <c r="K328" t="s">
        <v>478</v>
      </c>
      <c r="L328" t="s">
        <v>651</v>
      </c>
      <c r="M328" t="s">
        <v>476</v>
      </c>
      <c r="N328" t="s">
        <v>651</v>
      </c>
      <c r="O328" t="s">
        <v>488</v>
      </c>
      <c r="P328" t="s">
        <v>719</v>
      </c>
    </row>
    <row r="329" spans="1:16">
      <c r="A329" t="str">
        <f t="shared" si="5"/>
        <v>&lt;tr&gt;&lt;td&gt;2020-Apr-24&lt;/td&gt;&lt;td&gt;Matchday 33&lt;/td&gt;&lt;td&gt;&lt;/td&gt;&lt;td&gt;Sheffield United FC &lt;/td&gt;&lt;td&gt; - &lt;/td&gt;&lt;td&gt;&lt;/td&gt;&lt;td&gt;Brighton and Hove Albion FC&lt;/td&gt;&lt;/tr&gt;</v>
      </c>
      <c r="B329" t="s">
        <v>718</v>
      </c>
      <c r="C329" t="s">
        <v>714</v>
      </c>
      <c r="D329" t="s">
        <v>651</v>
      </c>
      <c r="E329" t="s">
        <v>396</v>
      </c>
      <c r="F329" t="s">
        <v>651</v>
      </c>
      <c r="G329" s="3" t="s">
        <v>476</v>
      </c>
      <c r="H329" t="s">
        <v>651</v>
      </c>
      <c r="I329" t="s">
        <v>534</v>
      </c>
      <c r="J329" t="s">
        <v>651</v>
      </c>
      <c r="K329" t="s">
        <v>478</v>
      </c>
      <c r="L329" t="s">
        <v>651</v>
      </c>
      <c r="M329" t="s">
        <v>476</v>
      </c>
      <c r="N329" t="s">
        <v>651</v>
      </c>
      <c r="O329" t="s">
        <v>652</v>
      </c>
      <c r="P329" t="s">
        <v>719</v>
      </c>
    </row>
    <row r="330" spans="1:16">
      <c r="A330" t="str">
        <f t="shared" si="5"/>
        <v>&lt;tr&gt;&lt;td&gt;2020-Apr-24&lt;/td&gt;&lt;td&gt;Matchday 33&lt;/td&gt;&lt;td&gt;&lt;/td&gt;&lt;td&gt;West Ham United FC &lt;/td&gt;&lt;td&gt; - &lt;/td&gt;&lt;td&gt;&lt;/td&gt;&lt;td&gt;Chelsea FC&lt;/td&gt;&lt;/tr&gt;</v>
      </c>
      <c r="B330" t="s">
        <v>718</v>
      </c>
      <c r="C330" t="s">
        <v>714</v>
      </c>
      <c r="D330" t="s">
        <v>651</v>
      </c>
      <c r="E330" t="s">
        <v>396</v>
      </c>
      <c r="F330" t="s">
        <v>651</v>
      </c>
      <c r="G330" s="3" t="s">
        <v>476</v>
      </c>
      <c r="H330" t="s">
        <v>651</v>
      </c>
      <c r="I330" t="s">
        <v>543</v>
      </c>
      <c r="J330" t="s">
        <v>651</v>
      </c>
      <c r="K330" t="s">
        <v>478</v>
      </c>
      <c r="L330" t="s">
        <v>651</v>
      </c>
      <c r="M330" t="s">
        <v>476</v>
      </c>
      <c r="N330" t="s">
        <v>651</v>
      </c>
      <c r="O330" t="s">
        <v>504</v>
      </c>
      <c r="P330" t="s">
        <v>719</v>
      </c>
    </row>
    <row r="331" spans="1:16">
      <c r="A331" t="str">
        <f t="shared" si="5"/>
        <v>&lt;tr&gt;&lt;td&gt;2020-Apr-24&lt;/td&gt;&lt;td&gt;Matchday 33&lt;/td&gt;&lt;td&gt;&lt;/td&gt;&lt;td&gt;Wolverhampton Wanderers FC &lt;/td&gt;&lt;td&gt; - &lt;/td&gt;&lt;td&gt;&lt;/td&gt;&lt;td&gt;Burnley FC&lt;/td&gt;&lt;/tr&gt;</v>
      </c>
      <c r="B331" t="s">
        <v>718</v>
      </c>
      <c r="C331" t="s">
        <v>714</v>
      </c>
      <c r="D331" t="s">
        <v>651</v>
      </c>
      <c r="E331" t="s">
        <v>396</v>
      </c>
      <c r="F331" t="s">
        <v>651</v>
      </c>
      <c r="G331" s="3" t="s">
        <v>476</v>
      </c>
      <c r="H331" t="s">
        <v>651</v>
      </c>
      <c r="I331" t="s">
        <v>544</v>
      </c>
      <c r="J331" t="s">
        <v>651</v>
      </c>
      <c r="K331" t="s">
        <v>478</v>
      </c>
      <c r="L331" t="s">
        <v>651</v>
      </c>
      <c r="M331" t="s">
        <v>476</v>
      </c>
      <c r="N331" t="s">
        <v>651</v>
      </c>
      <c r="O331" t="s">
        <v>511</v>
      </c>
      <c r="P331" t="s">
        <v>719</v>
      </c>
    </row>
    <row r="332" spans="1:16">
      <c r="A332" t="str">
        <f t="shared" si="5"/>
        <v>&lt;tr&gt;&lt;td&gt;2020-May-1&lt;/td&gt;&lt;td&gt;Matchday 34&lt;/td&gt;&lt;td&gt;&lt;/td&gt;&lt;td&gt;Brighton and Hove Albion FC &lt;/td&gt;&lt;td&gt; - &lt;/td&gt;&lt;td&gt;&lt;/td&gt;&lt;td&gt;Leeds United FC&lt;/td&gt;&lt;/tr&gt;</v>
      </c>
      <c r="B332" t="s">
        <v>718</v>
      </c>
      <c r="C332" t="s">
        <v>715</v>
      </c>
      <c r="D332" t="s">
        <v>651</v>
      </c>
      <c r="E332" t="s">
        <v>408</v>
      </c>
      <c r="F332" t="s">
        <v>651</v>
      </c>
      <c r="G332" s="3" t="s">
        <v>476</v>
      </c>
      <c r="H332" t="s">
        <v>651</v>
      </c>
      <c r="I332" t="s">
        <v>654</v>
      </c>
      <c r="J332" t="s">
        <v>651</v>
      </c>
      <c r="K332" t="s">
        <v>478</v>
      </c>
      <c r="L332" t="s">
        <v>651</v>
      </c>
      <c r="M332" t="s">
        <v>476</v>
      </c>
      <c r="N332" t="s">
        <v>651</v>
      </c>
      <c r="O332" t="s">
        <v>492</v>
      </c>
      <c r="P332" t="s">
        <v>719</v>
      </c>
    </row>
    <row r="333" spans="1:16">
      <c r="A333" t="str">
        <f t="shared" si="5"/>
        <v>&lt;tr&gt;&lt;td&gt;2020-May-1&lt;/td&gt;&lt;td&gt;Matchday 34&lt;/td&gt;&lt;td&gt;&lt;/td&gt;&lt;td&gt;Burnley FC &lt;/td&gt;&lt;td&gt; - &lt;/td&gt;&lt;td&gt;&lt;/td&gt;&lt;td&gt;West Ham United FC&lt;/td&gt;&lt;/tr&gt;</v>
      </c>
      <c r="B333" t="s">
        <v>718</v>
      </c>
      <c r="C333" t="s">
        <v>715</v>
      </c>
      <c r="D333" t="s">
        <v>651</v>
      </c>
      <c r="E333" t="s">
        <v>408</v>
      </c>
      <c r="F333" t="s">
        <v>651</v>
      </c>
      <c r="G333" s="3" t="s">
        <v>476</v>
      </c>
      <c r="H333" t="s">
        <v>651</v>
      </c>
      <c r="I333" t="s">
        <v>477</v>
      </c>
      <c r="J333" t="s">
        <v>651</v>
      </c>
      <c r="K333" t="s">
        <v>478</v>
      </c>
      <c r="L333" t="s">
        <v>651</v>
      </c>
      <c r="M333" t="s">
        <v>476</v>
      </c>
      <c r="N333" t="s">
        <v>651</v>
      </c>
      <c r="O333" t="s">
        <v>493</v>
      </c>
      <c r="P333" t="s">
        <v>719</v>
      </c>
    </row>
    <row r="334" spans="1:16">
      <c r="A334" t="str">
        <f t="shared" si="5"/>
        <v>&lt;tr&gt;&lt;td&gt;2020-May-1&lt;/td&gt;&lt;td&gt;Matchday 34&lt;/td&gt;&lt;td&gt;&lt;/td&gt;&lt;td&gt;Chelsea FC &lt;/td&gt;&lt;td&gt; - &lt;/td&gt;&lt;td&gt;&lt;/td&gt;&lt;td&gt;Fulham FC&lt;/td&gt;&lt;/tr&gt;</v>
      </c>
      <c r="B334" t="s">
        <v>718</v>
      </c>
      <c r="C334" t="s">
        <v>715</v>
      </c>
      <c r="D334" t="s">
        <v>651</v>
      </c>
      <c r="E334" t="s">
        <v>408</v>
      </c>
      <c r="F334" t="s">
        <v>651</v>
      </c>
      <c r="G334" s="3" t="s">
        <v>476</v>
      </c>
      <c r="H334" t="s">
        <v>651</v>
      </c>
      <c r="I334" t="s">
        <v>528</v>
      </c>
      <c r="J334" t="s">
        <v>651</v>
      </c>
      <c r="K334" t="s">
        <v>478</v>
      </c>
      <c r="L334" t="s">
        <v>651</v>
      </c>
      <c r="M334" t="s">
        <v>476</v>
      </c>
      <c r="N334" t="s">
        <v>651</v>
      </c>
      <c r="O334" t="s">
        <v>482</v>
      </c>
      <c r="P334" t="s">
        <v>719</v>
      </c>
    </row>
    <row r="335" spans="1:16">
      <c r="A335" t="str">
        <f t="shared" si="5"/>
        <v>&lt;tr&gt;&lt;td&gt;2020-May-1&lt;/td&gt;&lt;td&gt;Matchday 34&lt;/td&gt;&lt;td&gt;&lt;/td&gt;&lt;td&gt;Crystal Palace FC &lt;/td&gt;&lt;td&gt; - &lt;/td&gt;&lt;td&gt;&lt;/td&gt;&lt;td&gt;Manchester City FC&lt;/td&gt;&lt;/tr&gt;</v>
      </c>
      <c r="B335" t="s">
        <v>718</v>
      </c>
      <c r="C335" t="s">
        <v>715</v>
      </c>
      <c r="D335" t="s">
        <v>651</v>
      </c>
      <c r="E335" t="s">
        <v>408</v>
      </c>
      <c r="F335" t="s">
        <v>651</v>
      </c>
      <c r="G335" s="3" t="s">
        <v>476</v>
      </c>
      <c r="H335" t="s">
        <v>651</v>
      </c>
      <c r="I335" t="s">
        <v>529</v>
      </c>
      <c r="J335" t="s">
        <v>651</v>
      </c>
      <c r="K335" t="s">
        <v>478</v>
      </c>
      <c r="L335" t="s">
        <v>651</v>
      </c>
      <c r="M335" t="s">
        <v>476</v>
      </c>
      <c r="N335" t="s">
        <v>651</v>
      </c>
      <c r="O335" t="s">
        <v>512</v>
      </c>
      <c r="P335" t="s">
        <v>719</v>
      </c>
    </row>
    <row r="336" spans="1:16">
      <c r="A336" t="str">
        <f t="shared" si="5"/>
        <v>&lt;tr&gt;&lt;td&gt;2020-May-1&lt;/td&gt;&lt;td&gt;Matchday 34&lt;/td&gt;&lt;td&gt;&lt;/td&gt;&lt;td&gt;Everton FC &lt;/td&gt;&lt;td&gt; - &lt;/td&gt;&lt;td&gt;&lt;/td&gt;&lt;td&gt;Aston Villa FC&lt;/td&gt;&lt;/tr&gt;</v>
      </c>
      <c r="B336" t="s">
        <v>718</v>
      </c>
      <c r="C336" t="s">
        <v>715</v>
      </c>
      <c r="D336" t="s">
        <v>651</v>
      </c>
      <c r="E336" t="s">
        <v>408</v>
      </c>
      <c r="F336" t="s">
        <v>651</v>
      </c>
      <c r="G336" s="3" t="s">
        <v>476</v>
      </c>
      <c r="H336" t="s">
        <v>651</v>
      </c>
      <c r="I336" t="s">
        <v>530</v>
      </c>
      <c r="J336" t="s">
        <v>651</v>
      </c>
      <c r="K336" t="s">
        <v>478</v>
      </c>
      <c r="L336" t="s">
        <v>651</v>
      </c>
      <c r="M336" t="s">
        <v>476</v>
      </c>
      <c r="N336" t="s">
        <v>651</v>
      </c>
      <c r="O336" t="s">
        <v>481</v>
      </c>
      <c r="P336" t="s">
        <v>719</v>
      </c>
    </row>
    <row r="337" spans="1:16">
      <c r="A337" t="str">
        <f t="shared" si="5"/>
        <v>&lt;tr&gt;&lt;td&gt;2020-May-1&lt;/td&gt;&lt;td&gt;Matchday 34&lt;/td&gt;&lt;td&gt;&lt;/td&gt;&lt;td&gt;Manchester United    &lt;/td&gt;&lt;td&gt; - &lt;/td&gt;&lt;td&gt;&lt;/td&gt;&lt;td&gt;Liverpool FC&lt;/td&gt;&lt;/tr&gt;</v>
      </c>
      <c r="B337" t="s">
        <v>718</v>
      </c>
      <c r="C337" t="s">
        <v>715</v>
      </c>
      <c r="D337" t="s">
        <v>651</v>
      </c>
      <c r="E337" t="s">
        <v>408</v>
      </c>
      <c r="F337" t="s">
        <v>651</v>
      </c>
      <c r="G337" s="3" t="s">
        <v>476</v>
      </c>
      <c r="H337" t="s">
        <v>651</v>
      </c>
      <c r="I337" t="s">
        <v>541</v>
      </c>
      <c r="J337" t="s">
        <v>651</v>
      </c>
      <c r="K337" t="s">
        <v>478</v>
      </c>
      <c r="L337" t="s">
        <v>651</v>
      </c>
      <c r="M337" t="s">
        <v>476</v>
      </c>
      <c r="N337" t="s">
        <v>651</v>
      </c>
      <c r="O337" t="s">
        <v>489</v>
      </c>
      <c r="P337" t="s">
        <v>719</v>
      </c>
    </row>
    <row r="338" spans="1:16">
      <c r="A338" t="str">
        <f t="shared" si="5"/>
        <v>&lt;tr&gt;&lt;td&gt;2020-May-1&lt;/td&gt;&lt;td&gt;Matchday 34&lt;/td&gt;&lt;td&gt;&lt;/td&gt;&lt;td&gt;Newcastle United FC &lt;/td&gt;&lt;td&gt; - &lt;/td&gt;&lt;td&gt;&lt;/td&gt;&lt;td&gt;Arsenal FC&lt;/td&gt;&lt;/tr&gt;</v>
      </c>
      <c r="B338" t="s">
        <v>718</v>
      </c>
      <c r="C338" t="s">
        <v>715</v>
      </c>
      <c r="D338" t="s">
        <v>651</v>
      </c>
      <c r="E338" t="s">
        <v>408</v>
      </c>
      <c r="F338" t="s">
        <v>651</v>
      </c>
      <c r="G338" s="3" t="s">
        <v>476</v>
      </c>
      <c r="H338" t="s">
        <v>651</v>
      </c>
      <c r="I338" t="s">
        <v>533</v>
      </c>
      <c r="J338" t="s">
        <v>651</v>
      </c>
      <c r="K338" t="s">
        <v>478</v>
      </c>
      <c r="L338" t="s">
        <v>651</v>
      </c>
      <c r="M338" t="s">
        <v>476</v>
      </c>
      <c r="N338" t="s">
        <v>651</v>
      </c>
      <c r="O338" t="s">
        <v>485</v>
      </c>
      <c r="P338" t="s">
        <v>719</v>
      </c>
    </row>
    <row r="339" spans="1:16">
      <c r="A339" t="str">
        <f t="shared" si="5"/>
        <v>&lt;tr&gt;&lt;td&gt;2020-May-1&lt;/td&gt;&lt;td&gt;Matchday 34&lt;/td&gt;&lt;td&gt;&lt;/td&gt;&lt;td&gt;Southampton FC &lt;/td&gt;&lt;td&gt; - &lt;/td&gt;&lt;td&gt;&lt;/td&gt;&lt;td&gt;Leicester City FC&lt;/td&gt;&lt;/tr&gt;</v>
      </c>
      <c r="B339" t="s">
        <v>718</v>
      </c>
      <c r="C339" t="s">
        <v>715</v>
      </c>
      <c r="D339" t="s">
        <v>651</v>
      </c>
      <c r="E339" t="s">
        <v>408</v>
      </c>
      <c r="F339" t="s">
        <v>651</v>
      </c>
      <c r="G339" s="3" t="s">
        <v>476</v>
      </c>
      <c r="H339" t="s">
        <v>651</v>
      </c>
      <c r="I339" t="s">
        <v>542</v>
      </c>
      <c r="J339" t="s">
        <v>651</v>
      </c>
      <c r="K339" t="s">
        <v>478</v>
      </c>
      <c r="L339" t="s">
        <v>651</v>
      </c>
      <c r="M339" t="s">
        <v>476</v>
      </c>
      <c r="N339" t="s">
        <v>651</v>
      </c>
      <c r="O339" t="s">
        <v>498</v>
      </c>
      <c r="P339" t="s">
        <v>719</v>
      </c>
    </row>
    <row r="340" spans="1:16">
      <c r="A340" t="str">
        <f t="shared" si="5"/>
        <v>&lt;tr&gt;&lt;td&gt;2020-May-1&lt;/td&gt;&lt;td&gt;Matchday 34&lt;/td&gt;&lt;td&gt;&lt;/td&gt;&lt;td&gt;Tottenham Hotspur FC &lt;/td&gt;&lt;td&gt; - &lt;/td&gt;&lt;td&gt;&lt;/td&gt;&lt;td&gt;Sheffield United FC&lt;/td&gt;&lt;/tr&gt;</v>
      </c>
      <c r="B340" t="s">
        <v>718</v>
      </c>
      <c r="C340" t="s">
        <v>715</v>
      </c>
      <c r="D340" t="s">
        <v>651</v>
      </c>
      <c r="E340" t="s">
        <v>408</v>
      </c>
      <c r="F340" t="s">
        <v>651</v>
      </c>
      <c r="G340" s="3" t="s">
        <v>476</v>
      </c>
      <c r="H340" t="s">
        <v>651</v>
      </c>
      <c r="I340" t="s">
        <v>535</v>
      </c>
      <c r="J340" t="s">
        <v>651</v>
      </c>
      <c r="K340" t="s">
        <v>478</v>
      </c>
      <c r="L340" t="s">
        <v>651</v>
      </c>
      <c r="M340" t="s">
        <v>476</v>
      </c>
      <c r="N340" t="s">
        <v>651</v>
      </c>
      <c r="O340" t="s">
        <v>501</v>
      </c>
      <c r="P340" t="s">
        <v>719</v>
      </c>
    </row>
    <row r="341" spans="1:16">
      <c r="A341" t="str">
        <f t="shared" si="5"/>
        <v>&lt;tr&gt;&lt;td&gt;2020-May-1&lt;/td&gt;&lt;td&gt;Matchday 34&lt;/td&gt;&lt;td&gt;&lt;/td&gt;&lt;td&gt;West Bromwich Albion FC &lt;/td&gt;&lt;td&gt; - &lt;/td&gt;&lt;td&gt;&lt;/td&gt;&lt;td&gt;Wolverhampton Wanderers FC&lt;/td&gt;&lt;/tr&gt;</v>
      </c>
      <c r="B341" t="s">
        <v>718</v>
      </c>
      <c r="C341" t="s">
        <v>715</v>
      </c>
      <c r="D341" t="s">
        <v>651</v>
      </c>
      <c r="E341" t="s">
        <v>408</v>
      </c>
      <c r="F341" t="s">
        <v>651</v>
      </c>
      <c r="G341" s="3" t="s">
        <v>476</v>
      </c>
      <c r="H341" t="s">
        <v>651</v>
      </c>
      <c r="I341" t="s">
        <v>536</v>
      </c>
      <c r="J341" t="s">
        <v>651</v>
      </c>
      <c r="K341" t="s">
        <v>478</v>
      </c>
      <c r="L341" t="s">
        <v>651</v>
      </c>
      <c r="M341" t="s">
        <v>476</v>
      </c>
      <c r="N341" t="s">
        <v>651</v>
      </c>
      <c r="O341" t="s">
        <v>502</v>
      </c>
      <c r="P341" t="s">
        <v>719</v>
      </c>
    </row>
    <row r="342" spans="1:16">
      <c r="A342" t="str">
        <f t="shared" si="5"/>
        <v>&lt;tr&gt;&lt;td&gt;2020-May-8&lt;/td&gt;&lt;td&gt;Matchday 35&lt;/td&gt;&lt;td&gt;&lt;/td&gt;&lt;td&gt;Arsenal FC &lt;/td&gt;&lt;td&gt; - &lt;/td&gt;&lt;td&gt;&lt;/td&gt;&lt;td&gt;West Bromwich Albion FC&lt;/td&gt;&lt;/tr&gt;</v>
      </c>
      <c r="B342" t="s">
        <v>718</v>
      </c>
      <c r="C342" t="s">
        <v>716</v>
      </c>
      <c r="D342" t="s">
        <v>651</v>
      </c>
      <c r="E342" t="s">
        <v>420</v>
      </c>
      <c r="F342" t="s">
        <v>651</v>
      </c>
      <c r="G342" s="3" t="s">
        <v>476</v>
      </c>
      <c r="H342" t="s">
        <v>651</v>
      </c>
      <c r="I342" t="s">
        <v>537</v>
      </c>
      <c r="J342" t="s">
        <v>651</v>
      </c>
      <c r="K342" t="s">
        <v>478</v>
      </c>
      <c r="L342" t="s">
        <v>651</v>
      </c>
      <c r="M342" t="s">
        <v>476</v>
      </c>
      <c r="N342" t="s">
        <v>651</v>
      </c>
      <c r="O342" t="s">
        <v>497</v>
      </c>
      <c r="P342" t="s">
        <v>719</v>
      </c>
    </row>
    <row r="343" spans="1:16">
      <c r="A343" t="str">
        <f t="shared" si="5"/>
        <v>&lt;tr&gt;&lt;td&gt;2020-May-8&lt;/td&gt;&lt;td&gt;Matchday 35&lt;/td&gt;&lt;td&gt;&lt;/td&gt;&lt;td&gt;Aston Villa FC &lt;/td&gt;&lt;td&gt; - &lt;/td&gt;&lt;td&gt;&lt;/td&gt;&lt;td&gt;Manchester United&lt;/td&gt;&lt;/tr&gt;</v>
      </c>
      <c r="B343" t="s">
        <v>718</v>
      </c>
      <c r="C343" t="s">
        <v>716</v>
      </c>
      <c r="D343" t="s">
        <v>651</v>
      </c>
      <c r="E343" t="s">
        <v>420</v>
      </c>
      <c r="F343" t="s">
        <v>651</v>
      </c>
      <c r="G343" s="3" t="s">
        <v>476</v>
      </c>
      <c r="H343" t="s">
        <v>651</v>
      </c>
      <c r="I343" t="s">
        <v>538</v>
      </c>
      <c r="J343" t="s">
        <v>651</v>
      </c>
      <c r="K343" t="s">
        <v>478</v>
      </c>
      <c r="L343" t="s">
        <v>651</v>
      </c>
      <c r="M343" t="s">
        <v>476</v>
      </c>
      <c r="N343" t="s">
        <v>651</v>
      </c>
      <c r="O343" t="s">
        <v>479</v>
      </c>
      <c r="P343" t="s">
        <v>719</v>
      </c>
    </row>
    <row r="344" spans="1:16">
      <c r="A344" t="str">
        <f t="shared" si="5"/>
        <v>&lt;tr&gt;&lt;td&gt;2020-May-8&lt;/td&gt;&lt;td&gt;Matchday 35&lt;/td&gt;&lt;td&gt;&lt;/td&gt;&lt;td&gt;Fulham FC &lt;/td&gt;&lt;td&gt; - &lt;/td&gt;&lt;td&gt;&lt;/td&gt;&lt;td&gt;Burnley FC&lt;/td&gt;&lt;/tr&gt;</v>
      </c>
      <c r="B344" t="s">
        <v>718</v>
      </c>
      <c r="C344" t="s">
        <v>716</v>
      </c>
      <c r="D344" t="s">
        <v>651</v>
      </c>
      <c r="E344" t="s">
        <v>420</v>
      </c>
      <c r="F344" t="s">
        <v>651</v>
      </c>
      <c r="G344" s="3" t="s">
        <v>476</v>
      </c>
      <c r="H344" t="s">
        <v>651</v>
      </c>
      <c r="I344" t="s">
        <v>539</v>
      </c>
      <c r="J344" t="s">
        <v>651</v>
      </c>
      <c r="K344" t="s">
        <v>478</v>
      </c>
      <c r="L344" t="s">
        <v>651</v>
      </c>
      <c r="M344" t="s">
        <v>476</v>
      </c>
      <c r="N344" t="s">
        <v>651</v>
      </c>
      <c r="O344" t="s">
        <v>511</v>
      </c>
      <c r="P344" t="s">
        <v>719</v>
      </c>
    </row>
    <row r="345" spans="1:16">
      <c r="A345" t="str">
        <f t="shared" si="5"/>
        <v>&lt;tr&gt;&lt;td&gt;2020-May-8&lt;/td&gt;&lt;td&gt;Matchday 35&lt;/td&gt;&lt;td&gt;&lt;/td&gt;&lt;td&gt;Leeds United FC &lt;/td&gt;&lt;td&gt; - &lt;/td&gt;&lt;td&gt;&lt;/td&gt;&lt;td&gt;Tottenham Hotspur FC&lt;/td&gt;&lt;/tr&gt;</v>
      </c>
      <c r="B345" t="s">
        <v>718</v>
      </c>
      <c r="C345" t="s">
        <v>716</v>
      </c>
      <c r="D345" t="s">
        <v>651</v>
      </c>
      <c r="E345" t="s">
        <v>420</v>
      </c>
      <c r="F345" t="s">
        <v>651</v>
      </c>
      <c r="G345" s="3" t="s">
        <v>476</v>
      </c>
      <c r="H345" t="s">
        <v>651</v>
      </c>
      <c r="I345" t="s">
        <v>531</v>
      </c>
      <c r="J345" t="s">
        <v>651</v>
      </c>
      <c r="K345" t="s">
        <v>478</v>
      </c>
      <c r="L345" t="s">
        <v>651</v>
      </c>
      <c r="M345" t="s">
        <v>476</v>
      </c>
      <c r="N345" t="s">
        <v>651</v>
      </c>
      <c r="O345" t="s">
        <v>499</v>
      </c>
      <c r="P345" t="s">
        <v>719</v>
      </c>
    </row>
    <row r="346" spans="1:16">
      <c r="A346" t="str">
        <f t="shared" si="5"/>
        <v>&lt;tr&gt;&lt;td&gt;2020-May-8&lt;/td&gt;&lt;td&gt;Matchday 35&lt;/td&gt;&lt;td&gt;&lt;/td&gt;&lt;td&gt;Leicester City FC &lt;/td&gt;&lt;td&gt; - &lt;/td&gt;&lt;td&gt;&lt;/td&gt;&lt;td&gt;Newcastle United FC&lt;/td&gt;&lt;/tr&gt;</v>
      </c>
      <c r="B346" t="s">
        <v>718</v>
      </c>
      <c r="C346" t="s">
        <v>716</v>
      </c>
      <c r="D346" t="s">
        <v>651</v>
      </c>
      <c r="E346" t="s">
        <v>420</v>
      </c>
      <c r="F346" t="s">
        <v>651</v>
      </c>
      <c r="G346" s="3" t="s">
        <v>476</v>
      </c>
      <c r="H346" t="s">
        <v>651</v>
      </c>
      <c r="I346" t="s">
        <v>532</v>
      </c>
      <c r="J346" t="s">
        <v>651</v>
      </c>
      <c r="K346" t="s">
        <v>478</v>
      </c>
      <c r="L346" t="s">
        <v>651</v>
      </c>
      <c r="M346" t="s">
        <v>476</v>
      </c>
      <c r="N346" t="s">
        <v>651</v>
      </c>
      <c r="O346" t="s">
        <v>496</v>
      </c>
      <c r="P346" t="s">
        <v>719</v>
      </c>
    </row>
    <row r="347" spans="1:16">
      <c r="A347" t="str">
        <f t="shared" si="5"/>
        <v>&lt;tr&gt;&lt;td&gt;2020-May-8&lt;/td&gt;&lt;td&gt;Matchday 35&lt;/td&gt;&lt;td&gt;&lt;/td&gt;&lt;td&gt;Liverpool FC &lt;/td&gt;&lt;td&gt; - &lt;/td&gt;&lt;td&gt;&lt;/td&gt;&lt;td&gt;Southampton FC&lt;/td&gt;&lt;/tr&gt;</v>
      </c>
      <c r="B347" t="s">
        <v>718</v>
      </c>
      <c r="C347" t="s">
        <v>716</v>
      </c>
      <c r="D347" t="s">
        <v>651</v>
      </c>
      <c r="E347" t="s">
        <v>420</v>
      </c>
      <c r="F347" t="s">
        <v>651</v>
      </c>
      <c r="G347" s="3" t="s">
        <v>476</v>
      </c>
      <c r="H347" t="s">
        <v>651</v>
      </c>
      <c r="I347" t="s">
        <v>540</v>
      </c>
      <c r="J347" t="s">
        <v>651</v>
      </c>
      <c r="K347" t="s">
        <v>478</v>
      </c>
      <c r="L347" t="s">
        <v>651</v>
      </c>
      <c r="M347" t="s">
        <v>476</v>
      </c>
      <c r="N347" t="s">
        <v>651</v>
      </c>
      <c r="O347" t="s">
        <v>488</v>
      </c>
      <c r="P347" t="s">
        <v>719</v>
      </c>
    </row>
    <row r="348" spans="1:16">
      <c r="A348" t="str">
        <f t="shared" si="5"/>
        <v>&lt;tr&gt;&lt;td&gt;2020-May-8&lt;/td&gt;&lt;td&gt;Matchday 35&lt;/td&gt;&lt;td&gt;&lt;/td&gt;&lt;td&gt;Manchester City FC &lt;/td&gt;&lt;td&gt; - &lt;/td&gt;&lt;td&gt;&lt;/td&gt;&lt;td&gt;Chelsea FC&lt;/td&gt;&lt;/tr&gt;</v>
      </c>
      <c r="B348" t="s">
        <v>718</v>
      </c>
      <c r="C348" t="s">
        <v>716</v>
      </c>
      <c r="D348" t="s">
        <v>651</v>
      </c>
      <c r="E348" t="s">
        <v>420</v>
      </c>
      <c r="F348" t="s">
        <v>651</v>
      </c>
      <c r="G348" s="3" t="s">
        <v>476</v>
      </c>
      <c r="H348" t="s">
        <v>651</v>
      </c>
      <c r="I348" t="s">
        <v>480</v>
      </c>
      <c r="J348" t="s">
        <v>651</v>
      </c>
      <c r="K348" t="s">
        <v>478</v>
      </c>
      <c r="L348" t="s">
        <v>651</v>
      </c>
      <c r="M348" t="s">
        <v>476</v>
      </c>
      <c r="N348" t="s">
        <v>651</v>
      </c>
      <c r="O348" t="s">
        <v>504</v>
      </c>
      <c r="P348" t="s">
        <v>719</v>
      </c>
    </row>
    <row r="349" spans="1:16">
      <c r="A349" t="str">
        <f t="shared" si="5"/>
        <v>&lt;tr&gt;&lt;td&gt;2020-May-8&lt;/td&gt;&lt;td&gt;Matchday 35&lt;/td&gt;&lt;td&gt;&lt;/td&gt;&lt;td&gt;Sheffield United FC &lt;/td&gt;&lt;td&gt; - &lt;/td&gt;&lt;td&gt;&lt;/td&gt;&lt;td&gt;Crystal Palace FC&lt;/td&gt;&lt;/tr&gt;</v>
      </c>
      <c r="B349" t="s">
        <v>718</v>
      </c>
      <c r="C349" t="s">
        <v>716</v>
      </c>
      <c r="D349" t="s">
        <v>651</v>
      </c>
      <c r="E349" t="s">
        <v>420</v>
      </c>
      <c r="F349" t="s">
        <v>651</v>
      </c>
      <c r="G349" s="3" t="s">
        <v>476</v>
      </c>
      <c r="H349" t="s">
        <v>651</v>
      </c>
      <c r="I349" t="s">
        <v>534</v>
      </c>
      <c r="J349" t="s">
        <v>651</v>
      </c>
      <c r="K349" t="s">
        <v>478</v>
      </c>
      <c r="L349" t="s">
        <v>651</v>
      </c>
      <c r="M349" t="s">
        <v>476</v>
      </c>
      <c r="N349" t="s">
        <v>651</v>
      </c>
      <c r="O349" t="s">
        <v>486</v>
      </c>
      <c r="P349" t="s">
        <v>719</v>
      </c>
    </row>
    <row r="350" spans="1:16">
      <c r="A350" t="str">
        <f t="shared" si="5"/>
        <v>&lt;tr&gt;&lt;td&gt;2020-May-8&lt;/td&gt;&lt;td&gt;Matchday 35&lt;/td&gt;&lt;td&gt;&lt;/td&gt;&lt;td&gt;West Ham United FC &lt;/td&gt;&lt;td&gt; - &lt;/td&gt;&lt;td&gt;&lt;/td&gt;&lt;td&gt;Everton FC&lt;/td&gt;&lt;/tr&gt;</v>
      </c>
      <c r="B350" t="s">
        <v>718</v>
      </c>
      <c r="C350" t="s">
        <v>716</v>
      </c>
      <c r="D350" t="s">
        <v>651</v>
      </c>
      <c r="E350" t="s">
        <v>420</v>
      </c>
      <c r="F350" t="s">
        <v>651</v>
      </c>
      <c r="G350" s="3" t="s">
        <v>476</v>
      </c>
      <c r="H350" t="s">
        <v>651</v>
      </c>
      <c r="I350" t="s">
        <v>543</v>
      </c>
      <c r="J350" t="s">
        <v>651</v>
      </c>
      <c r="K350" t="s">
        <v>478</v>
      </c>
      <c r="L350" t="s">
        <v>651</v>
      </c>
      <c r="M350" t="s">
        <v>476</v>
      </c>
      <c r="N350" t="s">
        <v>651</v>
      </c>
      <c r="O350" t="s">
        <v>500</v>
      </c>
      <c r="P350" t="s">
        <v>719</v>
      </c>
    </row>
    <row r="351" spans="1:16">
      <c r="A351" t="str">
        <f t="shared" si="5"/>
        <v>&lt;tr&gt;&lt;td&gt;2020-May-8&lt;/td&gt;&lt;td&gt;Matchday 35&lt;/td&gt;&lt;td&gt;&lt;/td&gt;&lt;td&gt;Wolverhampton Wanderers FC &lt;/td&gt;&lt;td&gt; - &lt;/td&gt;&lt;td&gt;&lt;/td&gt;&lt;td&gt;Brighton and Hove Albion FC&lt;/td&gt;&lt;/tr&gt;</v>
      </c>
      <c r="B351" t="s">
        <v>718</v>
      </c>
      <c r="C351" t="s">
        <v>716</v>
      </c>
      <c r="D351" t="s">
        <v>651</v>
      </c>
      <c r="E351" t="s">
        <v>420</v>
      </c>
      <c r="F351" t="s">
        <v>651</v>
      </c>
      <c r="G351" s="3" t="s">
        <v>476</v>
      </c>
      <c r="H351" t="s">
        <v>651</v>
      </c>
      <c r="I351" t="s">
        <v>544</v>
      </c>
      <c r="J351" t="s">
        <v>651</v>
      </c>
      <c r="K351" t="s">
        <v>478</v>
      </c>
      <c r="L351" t="s">
        <v>651</v>
      </c>
      <c r="M351" t="s">
        <v>476</v>
      </c>
      <c r="N351" t="s">
        <v>651</v>
      </c>
      <c r="O351" t="s">
        <v>652</v>
      </c>
      <c r="P351" t="s">
        <v>719</v>
      </c>
    </row>
    <row r="352" spans="1:16">
      <c r="A352" t="str">
        <f t="shared" si="5"/>
        <v>&lt;tr&gt;&lt;td&gt;2020-May-11&lt;/td&gt;&lt;td&gt;Matchday 36&lt;/td&gt;&lt;td&gt;0,822916666666667&lt;/td&gt;&lt;td&gt;Brighton and Hove Albion FC&lt;/td&gt;&lt;td&gt; - &lt;/td&gt;&lt;td&gt;&lt;/td&gt;&lt;td&gt;m United FC&lt;/td&gt;&lt;/tr&gt;</v>
      </c>
      <c r="B352" t="s">
        <v>718</v>
      </c>
      <c r="C352" t="s">
        <v>681</v>
      </c>
      <c r="D352" t="s">
        <v>651</v>
      </c>
      <c r="E352" t="s">
        <v>432</v>
      </c>
      <c r="F352" t="s">
        <v>651</v>
      </c>
      <c r="G352" s="3">
        <v>0.82291666666666663</v>
      </c>
      <c r="H352" t="s">
        <v>651</v>
      </c>
      <c r="I352" t="s">
        <v>652</v>
      </c>
      <c r="J352" t="s">
        <v>651</v>
      </c>
      <c r="K352" t="s">
        <v>478</v>
      </c>
      <c r="L352" t="s">
        <v>651</v>
      </c>
      <c r="M352" t="s">
        <v>476</v>
      </c>
      <c r="N352" t="s">
        <v>651</v>
      </c>
      <c r="O352" t="s">
        <v>564</v>
      </c>
      <c r="P352" t="s">
        <v>719</v>
      </c>
    </row>
    <row r="353" spans="1:16">
      <c r="A353" t="str">
        <f t="shared" si="5"/>
        <v>&lt;tr&gt;&lt;td&gt;2020-May-11&lt;/td&gt;&lt;td&gt;Matchday 36&lt;/td&gt;&lt;td&gt;&lt;/td&gt;&lt;td&gt;       Burnley FC &lt;/td&gt;&lt;td&gt; - &lt;/td&gt;&lt;td&gt;&lt;/td&gt;&lt;td&gt;Leeds United FC&lt;/td&gt;&lt;/tr&gt;</v>
      </c>
      <c r="B353" t="s">
        <v>718</v>
      </c>
      <c r="C353" t="s">
        <v>681</v>
      </c>
      <c r="D353" t="s">
        <v>651</v>
      </c>
      <c r="E353" t="s">
        <v>432</v>
      </c>
      <c r="F353" t="s">
        <v>651</v>
      </c>
      <c r="G353" s="3" t="s">
        <v>476</v>
      </c>
      <c r="H353" t="s">
        <v>651</v>
      </c>
      <c r="I353" t="s">
        <v>557</v>
      </c>
      <c r="J353" t="s">
        <v>651</v>
      </c>
      <c r="K353" t="s">
        <v>478</v>
      </c>
      <c r="L353" t="s">
        <v>651</v>
      </c>
      <c r="M353" t="s">
        <v>476</v>
      </c>
      <c r="N353" t="s">
        <v>651</v>
      </c>
      <c r="O353" t="s">
        <v>492</v>
      </c>
      <c r="P353" t="s">
        <v>719</v>
      </c>
    </row>
    <row r="354" spans="1:16">
      <c r="A354" t="str">
        <f t="shared" si="5"/>
        <v>&lt;tr&gt;&lt;td&gt;2020-May-11&lt;/td&gt;&lt;td&gt;Matchday 36&lt;/td&gt;&lt;td&gt;&lt;/td&gt;&lt;td&gt;       Everton FC &lt;/td&gt;&lt;td&gt; - &lt;/td&gt;&lt;td&gt;&lt;/td&gt;&lt;td&gt;Sheffield United FC&lt;/td&gt;&lt;/tr&gt;</v>
      </c>
      <c r="B354" t="s">
        <v>718</v>
      </c>
      <c r="C354" t="s">
        <v>681</v>
      </c>
      <c r="D354" t="s">
        <v>651</v>
      </c>
      <c r="E354" t="s">
        <v>432</v>
      </c>
      <c r="F354" t="s">
        <v>651</v>
      </c>
      <c r="G354" s="3" t="s">
        <v>476</v>
      </c>
      <c r="H354" t="s">
        <v>651</v>
      </c>
      <c r="I354" t="s">
        <v>558</v>
      </c>
      <c r="J354" t="s">
        <v>651</v>
      </c>
      <c r="K354" t="s">
        <v>478</v>
      </c>
      <c r="L354" t="s">
        <v>651</v>
      </c>
      <c r="M354" t="s">
        <v>476</v>
      </c>
      <c r="N354" t="s">
        <v>651</v>
      </c>
      <c r="O354" t="s">
        <v>501</v>
      </c>
      <c r="P354" t="s">
        <v>719</v>
      </c>
    </row>
    <row r="355" spans="1:16">
      <c r="A355" t="str">
        <f t="shared" si="5"/>
        <v>&lt;tr&gt;&lt;td&gt;2020-May-11&lt;/td&gt;&lt;td&gt;Matchday 36&lt;/td&gt;&lt;td&gt;0,833333333333333&lt;/td&gt;&lt;td&gt;Manchester United   &lt;/td&gt;&lt;td&gt; - &lt;/td&gt;&lt;td&gt;&lt;/td&gt;&lt;td&gt;er City FC&lt;/td&gt;&lt;/tr&gt;</v>
      </c>
      <c r="B355" t="s">
        <v>718</v>
      </c>
      <c r="C355" t="s">
        <v>681</v>
      </c>
      <c r="D355" t="s">
        <v>651</v>
      </c>
      <c r="E355" t="s">
        <v>432</v>
      </c>
      <c r="F355" t="s">
        <v>651</v>
      </c>
      <c r="G355" s="3">
        <v>0.83333333333333337</v>
      </c>
      <c r="H355" t="s">
        <v>651</v>
      </c>
      <c r="I355" t="s">
        <v>507</v>
      </c>
      <c r="J355" t="s">
        <v>651</v>
      </c>
      <c r="K355" t="s">
        <v>478</v>
      </c>
      <c r="L355" t="s">
        <v>651</v>
      </c>
      <c r="M355" t="s">
        <v>476</v>
      </c>
      <c r="N355" t="s">
        <v>651</v>
      </c>
      <c r="O355" t="s">
        <v>565</v>
      </c>
      <c r="P355" t="s">
        <v>719</v>
      </c>
    </row>
    <row r="356" spans="1:16">
      <c r="A356" t="str">
        <f t="shared" si="5"/>
        <v>&lt;tr&gt;&lt;td&gt;2020-May-11&lt;/td&gt;&lt;td&gt;Matchday 36&lt;/td&gt;&lt;td&gt;&lt;/td&gt;&lt;td&gt;       West Bromwich Albion FC &lt;/td&gt;&lt;td&gt; - &lt;/td&gt;&lt;td&gt;&lt;/td&gt;&lt;td&gt;Liverpool FC&lt;/td&gt;&lt;/tr&gt;</v>
      </c>
      <c r="B356" t="s">
        <v>718</v>
      </c>
      <c r="C356" t="s">
        <v>681</v>
      </c>
      <c r="D356" t="s">
        <v>651</v>
      </c>
      <c r="E356" t="s">
        <v>432</v>
      </c>
      <c r="F356" t="s">
        <v>651</v>
      </c>
      <c r="G356" s="3" t="s">
        <v>476</v>
      </c>
      <c r="H356" t="s">
        <v>651</v>
      </c>
      <c r="I356" t="s">
        <v>560</v>
      </c>
      <c r="J356" t="s">
        <v>651</v>
      </c>
      <c r="K356" t="s">
        <v>478</v>
      </c>
      <c r="L356" t="s">
        <v>651</v>
      </c>
      <c r="M356" t="s">
        <v>476</v>
      </c>
      <c r="N356" t="s">
        <v>651</v>
      </c>
      <c r="O356" t="s">
        <v>489</v>
      </c>
      <c r="P356" t="s">
        <v>719</v>
      </c>
    </row>
    <row r="357" spans="1:16">
      <c r="A357" t="str">
        <f t="shared" si="5"/>
        <v>&lt;tr&gt;&lt;td&gt;2020-May-12&lt;/td&gt;&lt;td&gt;Matchday 36&lt;/td&gt;&lt;td&gt;0,822916666666667&lt;/td&gt;&lt;td&gt;Chelsea FC&lt;/td&gt;&lt;td&gt; - &lt;/td&gt;&lt;td&gt;&lt;/td&gt;&lt;td&gt; FC&lt;/td&gt;&lt;/tr&gt;</v>
      </c>
      <c r="B357" t="s">
        <v>718</v>
      </c>
      <c r="C357" t="s">
        <v>686</v>
      </c>
      <c r="D357" t="s">
        <v>651</v>
      </c>
      <c r="E357" t="s">
        <v>432</v>
      </c>
      <c r="F357" t="s">
        <v>651</v>
      </c>
      <c r="G357" s="3">
        <v>0.82291666666666663</v>
      </c>
      <c r="H357" t="s">
        <v>651</v>
      </c>
      <c r="I357" t="s">
        <v>504</v>
      </c>
      <c r="J357" t="s">
        <v>651</v>
      </c>
      <c r="K357" t="s">
        <v>478</v>
      </c>
      <c r="L357" t="s">
        <v>651</v>
      </c>
      <c r="M357" t="s">
        <v>476</v>
      </c>
      <c r="N357" t="s">
        <v>651</v>
      </c>
      <c r="O357" t="s">
        <v>555</v>
      </c>
      <c r="P357" t="s">
        <v>719</v>
      </c>
    </row>
    <row r="358" spans="1:16">
      <c r="A358" t="str">
        <f t="shared" si="5"/>
        <v>&lt;tr&gt;&lt;td&gt;2020-May-12&lt;/td&gt;&lt;td&gt;Matchday 36&lt;/td&gt;&lt;td&gt;&lt;/td&gt;&lt;td&gt;       Newcastle United FC &lt;/td&gt;&lt;td&gt; - &lt;/td&gt;&lt;td&gt;&lt;/td&gt;&lt;td&gt;Manchester City FC&lt;/td&gt;&lt;/tr&gt;</v>
      </c>
      <c r="B358" t="s">
        <v>718</v>
      </c>
      <c r="C358" t="s">
        <v>686</v>
      </c>
      <c r="D358" t="s">
        <v>651</v>
      </c>
      <c r="E358" t="s">
        <v>432</v>
      </c>
      <c r="F358" t="s">
        <v>651</v>
      </c>
      <c r="G358" s="3" t="s">
        <v>476</v>
      </c>
      <c r="H358" t="s">
        <v>651</v>
      </c>
      <c r="I358" t="s">
        <v>562</v>
      </c>
      <c r="J358" t="s">
        <v>651</v>
      </c>
      <c r="K358" t="s">
        <v>478</v>
      </c>
      <c r="L358" t="s">
        <v>651</v>
      </c>
      <c r="M358" t="s">
        <v>476</v>
      </c>
      <c r="N358" t="s">
        <v>651</v>
      </c>
      <c r="O358" t="s">
        <v>512</v>
      </c>
      <c r="P358" t="s">
        <v>719</v>
      </c>
    </row>
    <row r="359" spans="1:16">
      <c r="A359" t="str">
        <f t="shared" si="5"/>
        <v>&lt;tr&gt;&lt;td&gt;2020-May-12&lt;/td&gt;&lt;td&gt;Matchday 36&lt;/td&gt;&lt;td&gt;&lt;/td&gt;&lt;td&gt;       Southampton FC &lt;/td&gt;&lt;td&gt; - &lt;/td&gt;&lt;td&gt;&lt;/td&gt;&lt;td&gt;Fulham FC&lt;/td&gt;&lt;/tr&gt;</v>
      </c>
      <c r="B359" t="s">
        <v>718</v>
      </c>
      <c r="C359" t="s">
        <v>686</v>
      </c>
      <c r="D359" t="s">
        <v>651</v>
      </c>
      <c r="E359" t="s">
        <v>432</v>
      </c>
      <c r="F359" t="s">
        <v>651</v>
      </c>
      <c r="G359" s="3" t="s">
        <v>476</v>
      </c>
      <c r="H359" t="s">
        <v>651</v>
      </c>
      <c r="I359" t="s">
        <v>519</v>
      </c>
      <c r="J359" t="s">
        <v>651</v>
      </c>
      <c r="K359" t="s">
        <v>478</v>
      </c>
      <c r="L359" t="s">
        <v>651</v>
      </c>
      <c r="M359" t="s">
        <v>476</v>
      </c>
      <c r="N359" t="s">
        <v>651</v>
      </c>
      <c r="O359" t="s">
        <v>482</v>
      </c>
      <c r="P359" t="s">
        <v>719</v>
      </c>
    </row>
    <row r="360" spans="1:16">
      <c r="A360" t="str">
        <f t="shared" si="5"/>
        <v>&lt;tr&gt;&lt;td&gt;2020-May-12&lt;/td&gt;&lt;td&gt;Matchday 36&lt;/td&gt;&lt;td&gt;&lt;/td&gt;&lt;td&gt;       Tottenham Hotspur FC &lt;/td&gt;&lt;td&gt; - &lt;/td&gt;&lt;td&gt;&lt;/td&gt;&lt;td&gt;Wolverhampton Wanderers FC&lt;/td&gt;&lt;/tr&gt;</v>
      </c>
      <c r="B360" t="s">
        <v>718</v>
      </c>
      <c r="C360" t="s">
        <v>686</v>
      </c>
      <c r="D360" t="s">
        <v>651</v>
      </c>
      <c r="E360" t="s">
        <v>432</v>
      </c>
      <c r="F360" t="s">
        <v>651</v>
      </c>
      <c r="G360" s="3" t="s">
        <v>476</v>
      </c>
      <c r="H360" t="s">
        <v>651</v>
      </c>
      <c r="I360" t="s">
        <v>563</v>
      </c>
      <c r="J360" t="s">
        <v>651</v>
      </c>
      <c r="K360" t="s">
        <v>478</v>
      </c>
      <c r="L360" t="s">
        <v>651</v>
      </c>
      <c r="M360" t="s">
        <v>476</v>
      </c>
      <c r="N360" t="s">
        <v>651</v>
      </c>
      <c r="O360" t="s">
        <v>502</v>
      </c>
      <c r="P360" t="s">
        <v>719</v>
      </c>
    </row>
    <row r="361" spans="1:16">
      <c r="A361" t="str">
        <f t="shared" si="5"/>
        <v>&lt;tr&gt;&lt;td&gt;2020-May-12&lt;/td&gt;&lt;td&gt;Matchday 36&lt;/td&gt;&lt;td&gt;0,833333333333333&lt;/td&gt;&lt;td&gt;Crystal Palace FC&lt;/td&gt;&lt;td&gt; - &lt;/td&gt;&lt;td&gt;&lt;/td&gt;&lt;td&gt;illa FC&lt;/td&gt;&lt;/tr&gt;</v>
      </c>
      <c r="B361" t="s">
        <v>718</v>
      </c>
      <c r="C361" t="s">
        <v>686</v>
      </c>
      <c r="D361" t="s">
        <v>651</v>
      </c>
      <c r="E361" t="s">
        <v>432</v>
      </c>
      <c r="F361" t="s">
        <v>651</v>
      </c>
      <c r="G361" s="3">
        <v>0.83333333333333337</v>
      </c>
      <c r="H361" t="s">
        <v>651</v>
      </c>
      <c r="I361" t="s">
        <v>486</v>
      </c>
      <c r="J361" t="s">
        <v>651</v>
      </c>
      <c r="K361" t="s">
        <v>478</v>
      </c>
      <c r="L361" t="s">
        <v>651</v>
      </c>
      <c r="M361" t="s">
        <v>476</v>
      </c>
      <c r="N361" t="s">
        <v>651</v>
      </c>
      <c r="O361" t="s">
        <v>566</v>
      </c>
      <c r="P361" t="s">
        <v>719</v>
      </c>
    </row>
    <row r="362" spans="1:16">
      <c r="A362" t="str">
        <f t="shared" si="5"/>
        <v>&lt;tr&gt;&lt;td&gt;2020-May-15&lt;/td&gt;&lt;td&gt;Matchday 37&lt;/td&gt;&lt;td&gt;&lt;/td&gt;&lt;td&gt;Brighton and Hove Albion FC &lt;/td&gt;&lt;td&gt; - &lt;/td&gt;&lt;td&gt;&lt;/td&gt;&lt;td&gt;Manchester City FC&lt;/td&gt;&lt;/tr&gt;</v>
      </c>
      <c r="B362" t="s">
        <v>718</v>
      </c>
      <c r="C362" t="s">
        <v>717</v>
      </c>
      <c r="D362" t="s">
        <v>651</v>
      </c>
      <c r="E362" t="s">
        <v>445</v>
      </c>
      <c r="F362" t="s">
        <v>651</v>
      </c>
      <c r="H362" t="s">
        <v>651</v>
      </c>
      <c r="I362" t="s">
        <v>654</v>
      </c>
      <c r="J362" t="s">
        <v>651</v>
      </c>
      <c r="K362" t="s">
        <v>478</v>
      </c>
      <c r="L362" t="s">
        <v>651</v>
      </c>
      <c r="M362" t="s">
        <v>476</v>
      </c>
      <c r="N362" t="s">
        <v>651</v>
      </c>
      <c r="O362" t="s">
        <v>512</v>
      </c>
      <c r="P362" t="s">
        <v>719</v>
      </c>
    </row>
    <row r="363" spans="1:16">
      <c r="A363" t="str">
        <f t="shared" si="5"/>
        <v>&lt;tr&gt;&lt;td&gt;2020-May-15&lt;/td&gt;&lt;td&gt;Matchday 37&lt;/td&gt;&lt;td&gt;&lt;/td&gt;&lt;td&gt;Burnley FC &lt;/td&gt;&lt;td&gt; - &lt;/td&gt;&lt;td&gt;&lt;/td&gt;&lt;td&gt;Liverpool FC&lt;/td&gt;&lt;/tr&gt;</v>
      </c>
      <c r="B363" t="s">
        <v>718</v>
      </c>
      <c r="C363" t="s">
        <v>717</v>
      </c>
      <c r="D363" t="s">
        <v>651</v>
      </c>
      <c r="E363" t="s">
        <v>445</v>
      </c>
      <c r="F363" t="s">
        <v>651</v>
      </c>
      <c r="H363" t="s">
        <v>651</v>
      </c>
      <c r="I363" t="s">
        <v>477</v>
      </c>
      <c r="J363" t="s">
        <v>651</v>
      </c>
      <c r="K363" t="s">
        <v>478</v>
      </c>
      <c r="L363" t="s">
        <v>651</v>
      </c>
      <c r="M363" t="s">
        <v>476</v>
      </c>
      <c r="N363" t="s">
        <v>651</v>
      </c>
      <c r="O363" t="s">
        <v>489</v>
      </c>
      <c r="P363" t="s">
        <v>719</v>
      </c>
    </row>
    <row r="364" spans="1:16">
      <c r="A364" t="str">
        <f t="shared" si="5"/>
        <v>&lt;tr&gt;&lt;td&gt;2020-May-15&lt;/td&gt;&lt;td&gt;Matchday 37&lt;/td&gt;&lt;td&gt;&lt;/td&gt;&lt;td&gt;Chelsea FC &lt;/td&gt;&lt;td&gt; - &lt;/td&gt;&lt;td&gt;&lt;/td&gt;&lt;td&gt;Leicester City FC&lt;/td&gt;&lt;/tr&gt;</v>
      </c>
      <c r="B364" t="s">
        <v>718</v>
      </c>
      <c r="C364" t="s">
        <v>717</v>
      </c>
      <c r="D364" t="s">
        <v>651</v>
      </c>
      <c r="E364" t="s">
        <v>445</v>
      </c>
      <c r="F364" t="s">
        <v>651</v>
      </c>
      <c r="H364" t="s">
        <v>651</v>
      </c>
      <c r="I364" t="s">
        <v>528</v>
      </c>
      <c r="J364" t="s">
        <v>651</v>
      </c>
      <c r="K364" t="s">
        <v>478</v>
      </c>
      <c r="L364" t="s">
        <v>651</v>
      </c>
      <c r="M364" t="s">
        <v>476</v>
      </c>
      <c r="N364" t="s">
        <v>651</v>
      </c>
      <c r="O364" t="s">
        <v>498</v>
      </c>
      <c r="P364" t="s">
        <v>719</v>
      </c>
    </row>
    <row r="365" spans="1:16">
      <c r="A365" t="str">
        <f t="shared" si="5"/>
        <v>&lt;tr&gt;&lt;td&gt;2020-May-15&lt;/td&gt;&lt;td&gt;Matchday 37&lt;/td&gt;&lt;td&gt;&lt;/td&gt;&lt;td&gt;Crystal Palace FC &lt;/td&gt;&lt;td&gt; - &lt;/td&gt;&lt;td&gt;&lt;/td&gt;&lt;td&gt;Arsenal FC&lt;/td&gt;&lt;/tr&gt;</v>
      </c>
      <c r="B365" t="s">
        <v>718</v>
      </c>
      <c r="C365" t="s">
        <v>717</v>
      </c>
      <c r="D365" t="s">
        <v>651</v>
      </c>
      <c r="E365" t="s">
        <v>445</v>
      </c>
      <c r="F365" t="s">
        <v>651</v>
      </c>
      <c r="H365" t="s">
        <v>651</v>
      </c>
      <c r="I365" t="s">
        <v>529</v>
      </c>
      <c r="J365" t="s">
        <v>651</v>
      </c>
      <c r="K365" t="s">
        <v>478</v>
      </c>
      <c r="L365" t="s">
        <v>651</v>
      </c>
      <c r="M365" t="s">
        <v>476</v>
      </c>
      <c r="N365" t="s">
        <v>651</v>
      </c>
      <c r="O365" t="s">
        <v>485</v>
      </c>
      <c r="P365" t="s">
        <v>719</v>
      </c>
    </row>
    <row r="366" spans="1:16">
      <c r="A366" t="str">
        <f t="shared" si="5"/>
        <v>&lt;tr&gt;&lt;td&gt;2020-May-15&lt;/td&gt;&lt;td&gt;Matchday 37&lt;/td&gt;&lt;td&gt;&lt;/td&gt;&lt;td&gt;Everton FC &lt;/td&gt;&lt;td&gt; - &lt;/td&gt;&lt;td&gt;&lt;/td&gt;&lt;td&gt;Wolverhampton Wanderers FC&lt;/td&gt;&lt;/tr&gt;</v>
      </c>
      <c r="B366" t="s">
        <v>718</v>
      </c>
      <c r="C366" t="s">
        <v>717</v>
      </c>
      <c r="D366" t="s">
        <v>651</v>
      </c>
      <c r="E366" t="s">
        <v>445</v>
      </c>
      <c r="F366" t="s">
        <v>651</v>
      </c>
      <c r="H366" t="s">
        <v>651</v>
      </c>
      <c r="I366" t="s">
        <v>530</v>
      </c>
      <c r="J366" t="s">
        <v>651</v>
      </c>
      <c r="K366" t="s">
        <v>478</v>
      </c>
      <c r="L366" t="s">
        <v>651</v>
      </c>
      <c r="M366" t="s">
        <v>476</v>
      </c>
      <c r="N366" t="s">
        <v>651</v>
      </c>
      <c r="O366" t="s">
        <v>502</v>
      </c>
      <c r="P366" t="s">
        <v>719</v>
      </c>
    </row>
    <row r="367" spans="1:16">
      <c r="A367" t="str">
        <f t="shared" si="5"/>
        <v>&lt;tr&gt;&lt;td&gt;2020-May-15&lt;/td&gt;&lt;td&gt;Matchday 37&lt;/td&gt;&lt;td&gt;&lt;/td&gt;&lt;td&gt;Manchester United    &lt;/td&gt;&lt;td&gt; - &lt;/td&gt;&lt;td&gt;&lt;/td&gt;&lt;td&gt;Fulham FC&lt;/td&gt;&lt;/tr&gt;</v>
      </c>
      <c r="B367" t="s">
        <v>718</v>
      </c>
      <c r="C367" t="s">
        <v>717</v>
      </c>
      <c r="D367" t="s">
        <v>651</v>
      </c>
      <c r="E367" t="s">
        <v>445</v>
      </c>
      <c r="F367" t="s">
        <v>651</v>
      </c>
      <c r="H367" t="s">
        <v>651</v>
      </c>
      <c r="I367" t="s">
        <v>541</v>
      </c>
      <c r="J367" t="s">
        <v>651</v>
      </c>
      <c r="K367" t="s">
        <v>478</v>
      </c>
      <c r="L367" t="s">
        <v>651</v>
      </c>
      <c r="M367" t="s">
        <v>476</v>
      </c>
      <c r="N367" t="s">
        <v>651</v>
      </c>
      <c r="O367" t="s">
        <v>482</v>
      </c>
      <c r="P367" t="s">
        <v>719</v>
      </c>
    </row>
    <row r="368" spans="1:16">
      <c r="A368" t="str">
        <f t="shared" si="5"/>
        <v>&lt;tr&gt;&lt;td&gt;2020-May-15&lt;/td&gt;&lt;td&gt;Matchday 37&lt;/td&gt;&lt;td&gt;&lt;/td&gt;&lt;td&gt;Newcastle United FC &lt;/td&gt;&lt;td&gt; - &lt;/td&gt;&lt;td&gt;&lt;/td&gt;&lt;td&gt;Sheffield United FC&lt;/td&gt;&lt;/tr&gt;</v>
      </c>
      <c r="B368" t="s">
        <v>718</v>
      </c>
      <c r="C368" t="s">
        <v>717</v>
      </c>
      <c r="D368" t="s">
        <v>651</v>
      </c>
      <c r="E368" t="s">
        <v>445</v>
      </c>
      <c r="F368" t="s">
        <v>651</v>
      </c>
      <c r="H368" t="s">
        <v>651</v>
      </c>
      <c r="I368" t="s">
        <v>533</v>
      </c>
      <c r="J368" t="s">
        <v>651</v>
      </c>
      <c r="K368" t="s">
        <v>478</v>
      </c>
      <c r="L368" t="s">
        <v>651</v>
      </c>
      <c r="M368" t="s">
        <v>476</v>
      </c>
      <c r="N368" t="s">
        <v>651</v>
      </c>
      <c r="O368" t="s">
        <v>501</v>
      </c>
      <c r="P368" t="s">
        <v>719</v>
      </c>
    </row>
    <row r="369" spans="1:16">
      <c r="A369" t="str">
        <f t="shared" si="5"/>
        <v>&lt;tr&gt;&lt;td&gt;2020-May-15&lt;/td&gt;&lt;td&gt;Matchday 37&lt;/td&gt;&lt;td&gt;&lt;/td&gt;&lt;td&gt;Southampton FC &lt;/td&gt;&lt;td&gt; - &lt;/td&gt;&lt;td&gt;&lt;/td&gt;&lt;td&gt;Leeds United FC&lt;/td&gt;&lt;/tr&gt;</v>
      </c>
      <c r="B369" t="s">
        <v>718</v>
      </c>
      <c r="C369" t="s">
        <v>717</v>
      </c>
      <c r="D369" t="s">
        <v>651</v>
      </c>
      <c r="E369" t="s">
        <v>445</v>
      </c>
      <c r="F369" t="s">
        <v>651</v>
      </c>
      <c r="H369" t="s">
        <v>651</v>
      </c>
      <c r="I369" t="s">
        <v>542</v>
      </c>
      <c r="J369" t="s">
        <v>651</v>
      </c>
      <c r="K369" t="s">
        <v>478</v>
      </c>
      <c r="L369" t="s">
        <v>651</v>
      </c>
      <c r="M369" t="s">
        <v>476</v>
      </c>
      <c r="N369" t="s">
        <v>651</v>
      </c>
      <c r="O369" t="s">
        <v>492</v>
      </c>
      <c r="P369" t="s">
        <v>719</v>
      </c>
    </row>
    <row r="370" spans="1:16">
      <c r="A370" t="str">
        <f t="shared" si="5"/>
        <v>&lt;tr&gt;&lt;td&gt;2020-May-15&lt;/td&gt;&lt;td&gt;Matchday 37&lt;/td&gt;&lt;td&gt;&lt;/td&gt;&lt;td&gt;Tottenham Hotspur FC &lt;/td&gt;&lt;td&gt; - &lt;/td&gt;&lt;td&gt;&lt;/td&gt;&lt;td&gt;Aston Villa FC&lt;/td&gt;&lt;/tr&gt;</v>
      </c>
      <c r="B370" t="s">
        <v>718</v>
      </c>
      <c r="C370" t="s">
        <v>717</v>
      </c>
      <c r="D370" t="s">
        <v>651</v>
      </c>
      <c r="E370" t="s">
        <v>445</v>
      </c>
      <c r="F370" t="s">
        <v>651</v>
      </c>
      <c r="H370" t="s">
        <v>651</v>
      </c>
      <c r="I370" t="s">
        <v>535</v>
      </c>
      <c r="J370" t="s">
        <v>651</v>
      </c>
      <c r="K370" t="s">
        <v>478</v>
      </c>
      <c r="L370" t="s">
        <v>651</v>
      </c>
      <c r="M370" t="s">
        <v>476</v>
      </c>
      <c r="N370" t="s">
        <v>651</v>
      </c>
      <c r="O370" t="s">
        <v>481</v>
      </c>
      <c r="P370" t="s">
        <v>719</v>
      </c>
    </row>
    <row r="371" spans="1:16">
      <c r="A371" t="str">
        <f t="shared" si="5"/>
        <v>&lt;tr&gt;&lt;td&gt;2020-May-15&lt;/td&gt;&lt;td&gt;Matchday 37&lt;/td&gt;&lt;td&gt;&lt;/td&gt;&lt;td&gt;West Bromwich Albion FC &lt;/td&gt;&lt;td&gt; - &lt;/td&gt;&lt;td&gt;&lt;/td&gt;&lt;td&gt;West Ham United FC&lt;/td&gt;&lt;/tr&gt;</v>
      </c>
      <c r="B371" t="s">
        <v>718</v>
      </c>
      <c r="C371" t="s">
        <v>717</v>
      </c>
      <c r="D371" t="s">
        <v>651</v>
      </c>
      <c r="E371" t="s">
        <v>445</v>
      </c>
      <c r="F371" t="s">
        <v>651</v>
      </c>
      <c r="G371" s="3" t="s">
        <v>476</v>
      </c>
      <c r="H371" t="s">
        <v>651</v>
      </c>
      <c r="I371" t="s">
        <v>536</v>
      </c>
      <c r="J371" t="s">
        <v>651</v>
      </c>
      <c r="K371" t="s">
        <v>478</v>
      </c>
      <c r="L371" t="s">
        <v>651</v>
      </c>
      <c r="M371" t="s">
        <v>476</v>
      </c>
      <c r="N371" t="s">
        <v>651</v>
      </c>
      <c r="O371" t="s">
        <v>493</v>
      </c>
      <c r="P371" t="s">
        <v>719</v>
      </c>
    </row>
    <row r="372" spans="1:16">
      <c r="A372" t="str">
        <f t="shared" si="5"/>
        <v>&lt;tr&gt;&lt;td&gt;2020-May-15&lt;/td&gt;&lt;td&gt;Matchday 37&lt;/td&gt;&lt;td&gt;&lt;/td&gt;&lt;td&gt;       Wolverhampton Wanderers FC &lt;/td&gt;&lt;td&gt; - &lt;/td&gt;&lt;td&gt;&lt;/td&gt;&lt;td&gt;Manchester United&lt;/td&gt;&lt;/tr&gt;</v>
      </c>
      <c r="B372" t="s">
        <v>718</v>
      </c>
      <c r="C372" t="s">
        <v>717</v>
      </c>
      <c r="D372" t="s">
        <v>651</v>
      </c>
      <c r="E372" t="s">
        <v>445</v>
      </c>
      <c r="F372" t="s">
        <v>651</v>
      </c>
      <c r="G372" s="3" t="s">
        <v>476</v>
      </c>
      <c r="H372" t="s">
        <v>651</v>
      </c>
      <c r="I372" t="s">
        <v>522</v>
      </c>
      <c r="J372" t="s">
        <v>651</v>
      </c>
      <c r="K372" t="s">
        <v>478</v>
      </c>
      <c r="L372" t="s">
        <v>651</v>
      </c>
      <c r="M372" t="s">
        <v>476</v>
      </c>
      <c r="N372" t="s">
        <v>651</v>
      </c>
      <c r="O372" t="s">
        <v>479</v>
      </c>
      <c r="P372" t="s">
        <v>719</v>
      </c>
    </row>
    <row r="373" spans="1:16">
      <c r="A373" t="str">
        <f t="shared" si="5"/>
        <v>&lt;tr&gt;&lt;td&gt;2020-May-23&lt;/td&gt;&lt;td&gt;Matchday 38&lt;/td&gt;&lt;td&gt;&lt;/td&gt;&lt;td&gt;Chelsea FC&lt;/td&gt;&lt;td&gt;&lt;/td&gt;&lt;td&gt;&lt;/td&gt;&lt;td&gt;Aston Villa FC &lt;/td&gt;&lt;/tr&gt;</v>
      </c>
      <c r="B373" t="s">
        <v>718</v>
      </c>
      <c r="C373" t="s">
        <v>665</v>
      </c>
      <c r="D373" t="s">
        <v>651</v>
      </c>
      <c r="E373" t="s">
        <v>457</v>
      </c>
      <c r="F373" t="s">
        <v>651</v>
      </c>
      <c r="H373" t="s">
        <v>651</v>
      </c>
      <c r="I373" t="s">
        <v>504</v>
      </c>
      <c r="J373" t="s">
        <v>651</v>
      </c>
      <c r="K373" t="s">
        <v>476</v>
      </c>
      <c r="L373" t="s">
        <v>651</v>
      </c>
      <c r="N373" t="s">
        <v>651</v>
      </c>
      <c r="O373" t="s">
        <v>538</v>
      </c>
      <c r="P373" t="s">
        <v>719</v>
      </c>
    </row>
    <row r="374" spans="1:16">
      <c r="A374" t="str">
        <f t="shared" si="5"/>
        <v>&lt;tr&gt;&lt;td&gt;2020-May-23&lt;/td&gt;&lt;td&gt;Matchday 38&lt;/td&gt;&lt;td&gt;&lt;/td&gt;&lt;td&gt;Newcastle United FC&lt;/td&gt;&lt;td&gt;&lt;/td&gt;&lt;td&gt;&lt;/td&gt;&lt;td&gt;Fulham FC &lt;/td&gt;&lt;/tr&gt;</v>
      </c>
      <c r="B374" t="s">
        <v>718</v>
      </c>
      <c r="C374" t="s">
        <v>665</v>
      </c>
      <c r="D374" t="s">
        <v>651</v>
      </c>
      <c r="E374" t="s">
        <v>457</v>
      </c>
      <c r="F374" t="s">
        <v>651</v>
      </c>
      <c r="H374" t="s">
        <v>651</v>
      </c>
      <c r="I374" t="s">
        <v>496</v>
      </c>
      <c r="J374" t="s">
        <v>651</v>
      </c>
      <c r="K374" t="s">
        <v>476</v>
      </c>
      <c r="L374" t="s">
        <v>651</v>
      </c>
      <c r="N374" t="s">
        <v>651</v>
      </c>
      <c r="O374" t="s">
        <v>539</v>
      </c>
      <c r="P374" t="s">
        <v>719</v>
      </c>
    </row>
    <row r="375" spans="1:16">
      <c r="A375" t="str">
        <f t="shared" si="5"/>
        <v>&lt;tr&gt;&lt;td&gt;2020-May-23&lt;/td&gt;&lt;td&gt;Matchday 38&lt;/td&gt;&lt;td&gt;&lt;/td&gt;&lt;td&gt;West Bromwich Albion FC&lt;/td&gt;&lt;td&gt;&lt;/td&gt;&lt;td&gt;&lt;/td&gt;&lt;td&gt;Leeds United FC &lt;/td&gt;&lt;/tr&gt;</v>
      </c>
      <c r="B375" t="s">
        <v>718</v>
      </c>
      <c r="C375" t="s">
        <v>665</v>
      </c>
      <c r="D375" t="s">
        <v>651</v>
      </c>
      <c r="E375" t="s">
        <v>457</v>
      </c>
      <c r="F375" t="s">
        <v>651</v>
      </c>
      <c r="H375" t="s">
        <v>651</v>
      </c>
      <c r="I375" t="s">
        <v>497</v>
      </c>
      <c r="J375" t="s">
        <v>651</v>
      </c>
      <c r="K375" t="s">
        <v>476</v>
      </c>
      <c r="L375" t="s">
        <v>651</v>
      </c>
      <c r="N375" t="s">
        <v>651</v>
      </c>
      <c r="O375" t="s">
        <v>531</v>
      </c>
      <c r="P375" t="s">
        <v>719</v>
      </c>
    </row>
    <row r="376" spans="1:16">
      <c r="A376" t="str">
        <f t="shared" si="5"/>
        <v>&lt;tr&gt;&lt;td&gt;2020-May-23&lt;/td&gt;&lt;td&gt;Matchday 38&lt;/td&gt;&lt;td&gt;&lt;/td&gt;&lt;td&gt;Tottenham Hotspur FC&lt;/td&gt;&lt;td&gt;&lt;/td&gt;&lt;td&gt;&lt;/td&gt;&lt;td&gt;Leicester City FC &lt;/td&gt;&lt;/tr&gt;</v>
      </c>
      <c r="B376" t="s">
        <v>718</v>
      </c>
      <c r="C376" t="s">
        <v>665</v>
      </c>
      <c r="D376" t="s">
        <v>651</v>
      </c>
      <c r="E376" t="s">
        <v>457</v>
      </c>
      <c r="F376" t="s">
        <v>651</v>
      </c>
      <c r="H376" t="s">
        <v>651</v>
      </c>
      <c r="I376" t="s">
        <v>499</v>
      </c>
      <c r="J376" t="s">
        <v>651</v>
      </c>
      <c r="K376" t="s">
        <v>476</v>
      </c>
      <c r="L376" t="s">
        <v>651</v>
      </c>
      <c r="N376" t="s">
        <v>651</v>
      </c>
      <c r="O376" t="s">
        <v>532</v>
      </c>
      <c r="P376" t="s">
        <v>719</v>
      </c>
    </row>
    <row r="377" spans="1:16">
      <c r="A377" t="str">
        <f t="shared" si="5"/>
        <v>&lt;tr&gt;&lt;td&gt;2020-May-23&lt;/td&gt;&lt;td&gt;Matchday 38&lt;/td&gt;&lt;td&gt;&lt;/td&gt;&lt;td&gt;Crystal Palace FC&lt;/td&gt;&lt;td&gt;&lt;/td&gt;&lt;td&gt;&lt;/td&gt;&lt;td&gt;Liverpool FC &lt;/td&gt;&lt;/tr&gt;</v>
      </c>
      <c r="B377" t="s">
        <v>718</v>
      </c>
      <c r="C377" t="s">
        <v>665</v>
      </c>
      <c r="D377" t="s">
        <v>651</v>
      </c>
      <c r="E377" t="s">
        <v>457</v>
      </c>
      <c r="F377" t="s">
        <v>651</v>
      </c>
      <c r="H377" t="s">
        <v>651</v>
      </c>
      <c r="I377" t="s">
        <v>486</v>
      </c>
      <c r="J377" t="s">
        <v>651</v>
      </c>
      <c r="K377" t="s">
        <v>476</v>
      </c>
      <c r="L377" t="s">
        <v>651</v>
      </c>
      <c r="N377" t="s">
        <v>651</v>
      </c>
      <c r="O377" t="s">
        <v>540</v>
      </c>
      <c r="P377" t="s">
        <v>719</v>
      </c>
    </row>
    <row r="378" spans="1:16">
      <c r="A378" t="str">
        <f t="shared" si="5"/>
        <v>&lt;tr&gt;&lt;td&gt;2020-May-23&lt;/td&gt;&lt;td&gt;Matchday 38&lt;/td&gt;&lt;td&gt;&lt;/td&gt;&lt;td&gt;Everton FC&lt;/td&gt;&lt;td&gt;&lt;/td&gt;&lt;td&gt;&lt;/td&gt;&lt;td&gt;Manchester City FC &lt;/td&gt;&lt;/tr&gt;</v>
      </c>
      <c r="B378" t="s">
        <v>718</v>
      </c>
      <c r="C378" t="s">
        <v>665</v>
      </c>
      <c r="D378" t="s">
        <v>651</v>
      </c>
      <c r="E378" t="s">
        <v>457</v>
      </c>
      <c r="F378" t="s">
        <v>651</v>
      </c>
      <c r="H378" t="s">
        <v>651</v>
      </c>
      <c r="I378" t="s">
        <v>500</v>
      </c>
      <c r="J378" t="s">
        <v>651</v>
      </c>
      <c r="K378" t="s">
        <v>476</v>
      </c>
      <c r="L378" t="s">
        <v>651</v>
      </c>
      <c r="N378" t="s">
        <v>651</v>
      </c>
      <c r="O378" t="s">
        <v>480</v>
      </c>
      <c r="P378" t="s">
        <v>719</v>
      </c>
    </row>
    <row r="379" spans="1:16">
      <c r="A379" t="str">
        <f t="shared" si="5"/>
        <v>&lt;tr&gt;&lt;td&gt;2020-May-23&lt;/td&gt;&lt;td&gt;Matchday 38&lt;/td&gt;&lt;td&gt;&lt;/td&gt;&lt;td&gt;Burnley FC&lt;/td&gt;&lt;td&gt;&lt;/td&gt;&lt;td&gt;&lt;/td&gt;&lt;td&gt;Sheffield United FC &lt;/td&gt;&lt;/tr&gt;</v>
      </c>
      <c r="B379" t="s">
        <v>718</v>
      </c>
      <c r="C379" t="s">
        <v>665</v>
      </c>
      <c r="D379" t="s">
        <v>651</v>
      </c>
      <c r="E379" t="s">
        <v>457</v>
      </c>
      <c r="F379" t="s">
        <v>651</v>
      </c>
      <c r="H379" t="s">
        <v>651</v>
      </c>
      <c r="I379" t="s">
        <v>511</v>
      </c>
      <c r="J379" t="s">
        <v>651</v>
      </c>
      <c r="K379" t="s">
        <v>476</v>
      </c>
      <c r="L379" t="s">
        <v>651</v>
      </c>
      <c r="N379" t="s">
        <v>651</v>
      </c>
      <c r="O379" t="s">
        <v>534</v>
      </c>
      <c r="P379" t="s">
        <v>719</v>
      </c>
    </row>
    <row r="380" spans="1:16">
      <c r="A380" t="str">
        <f t="shared" si="5"/>
        <v>&lt;tr&gt;&lt;td&gt;2020-May-23&lt;/td&gt;&lt;td&gt;Matchday 38&lt;/td&gt;&lt;td&gt;&lt;/td&gt;&lt;td&gt;Southampton FC&lt;/td&gt;&lt;td&gt;&lt;/td&gt;&lt;td&gt;&lt;/td&gt;&lt;td&gt;West Ham United FC &lt;/td&gt;&lt;/tr&gt;</v>
      </c>
      <c r="B380" t="s">
        <v>718</v>
      </c>
      <c r="C380" t="s">
        <v>665</v>
      </c>
      <c r="D380" t="s">
        <v>651</v>
      </c>
      <c r="E380" t="s">
        <v>457</v>
      </c>
      <c r="F380" t="s">
        <v>651</v>
      </c>
      <c r="H380" t="s">
        <v>651</v>
      </c>
      <c r="I380" t="s">
        <v>488</v>
      </c>
      <c r="J380" t="s">
        <v>651</v>
      </c>
      <c r="K380" t="s">
        <v>476</v>
      </c>
      <c r="L380" t="s">
        <v>651</v>
      </c>
      <c r="N380" t="s">
        <v>651</v>
      </c>
      <c r="O380" t="s">
        <v>543</v>
      </c>
      <c r="P380" t="s">
        <v>719</v>
      </c>
    </row>
    <row r="381" spans="1:16">
      <c r="A381" t="str">
        <f t="shared" si="5"/>
        <v>&lt;tr&gt;&lt;td&gt;2020-May-23&lt;/td&gt;&lt;td&gt;Matchday 38&lt;/td&gt;&lt;td&gt;&lt;/td&gt;&lt;td&gt;Manchester United&lt;/td&gt;&lt;td&gt;&lt;/td&gt;&lt;td&gt;&lt;/td&gt;&lt;td&gt;Wolverhampton Wanderers FC &lt;/td&gt;&lt;/tr&gt;</v>
      </c>
      <c r="B381" t="s">
        <v>718</v>
      </c>
      <c r="C381" t="s">
        <v>665</v>
      </c>
      <c r="D381" t="s">
        <v>651</v>
      </c>
      <c r="E381" t="s">
        <v>457</v>
      </c>
      <c r="F381" t="s">
        <v>651</v>
      </c>
      <c r="H381" t="s">
        <v>651</v>
      </c>
      <c r="I381" t="s">
        <v>479</v>
      </c>
      <c r="J381" t="s">
        <v>651</v>
      </c>
      <c r="K381" t="s">
        <v>476</v>
      </c>
      <c r="L381" t="s">
        <v>651</v>
      </c>
      <c r="N381" t="s">
        <v>651</v>
      </c>
      <c r="O381" t="s">
        <v>544</v>
      </c>
      <c r="P381" t="s">
        <v>719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_all">
                <anchor moveWithCells="1" sizeWithCells="1">
                  <from>
                    <xdr:col>16</xdr:col>
                    <xdr:colOff>476250</xdr:colOff>
                    <xdr:row>1</xdr:row>
                    <xdr:rowOff>114300</xdr:rowOff>
                  </from>
                  <to>
                    <xdr:col>21</xdr:col>
                    <xdr:colOff>552450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ow_half">
                <anchor moveWithCells="1" sizeWithCells="1">
                  <from>
                    <xdr:col>16</xdr:col>
                    <xdr:colOff>466725</xdr:colOff>
                    <xdr:row>7</xdr:row>
                    <xdr:rowOff>19050</xdr:rowOff>
                  </from>
                  <to>
                    <xdr:col>21</xdr:col>
                    <xdr:colOff>542925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Update_scores">
                <anchor moveWithCells="1" sizeWithCells="1">
                  <from>
                    <xdr:col>23</xdr:col>
                    <xdr:colOff>66675</xdr:colOff>
                    <xdr:row>1</xdr:row>
                    <xdr:rowOff>152400</xdr:rowOff>
                  </from>
                  <to>
                    <xdr:col>28</xdr:col>
                    <xdr:colOff>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Fixtures_scores</vt:lpstr>
      <vt:lpstr>Sheet1!_1_premierleague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</dc:creator>
  <cp:lastModifiedBy>roe</cp:lastModifiedBy>
  <dcterms:created xsi:type="dcterms:W3CDTF">2020-10-13T07:07:22Z</dcterms:created>
  <dcterms:modified xsi:type="dcterms:W3CDTF">2020-11-13T09:49:55Z</dcterms:modified>
</cp:coreProperties>
</file>